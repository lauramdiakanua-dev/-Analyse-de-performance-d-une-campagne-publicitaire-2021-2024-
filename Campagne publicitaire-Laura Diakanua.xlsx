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uradiakanua/Downloads/"/>
    </mc:Choice>
  </mc:AlternateContent>
  <xr:revisionPtr revIDLastSave="0" documentId="8_{F43DF808-B3CA-4687-A824-676E942AF599}" xr6:coauthVersionLast="47" xr6:coauthVersionMax="47" xr10:uidLastSave="{00000000-0000-0000-0000-000000000000}"/>
  <bookViews>
    <workbookView xWindow="1000" yWindow="500" windowWidth="30360" windowHeight="14440" firstSheet="2" activeTab="2" xr2:uid="{00000000-000D-0000-FFFF-FFFF00000000}"/>
  </bookViews>
  <sheets>
    <sheet name="DATA" sheetId="1" r:id="rId1"/>
    <sheet name="REPORTING" sheetId="3" r:id="rId2"/>
    <sheet name="DASHBOARD" sheetId="4" r:id="rId3"/>
    <sheet name="TCD" sheetId="6" r:id="rId4"/>
  </sheets>
  <definedNames>
    <definedName name="_xlnm._FilterDatabase" localSheetId="0" hidden="1">DATA!$A$1:$M$106</definedName>
    <definedName name="Segment_Centre_Intérêt">#N/A</definedName>
    <definedName name="Segment_Réseau_Social">#N/A</definedName>
    <definedName name="Segment_Segmentation_du_Public___Âge">#N/A</definedName>
    <definedName name="Segment_Segmentation_du_Public___Sexe">#N/A</definedName>
  </definedNames>
  <calcPr calcId="191028"/>
  <pivotCaches>
    <pivotCache cacheId="6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" l="1"/>
  <c r="F16" i="3"/>
  <c r="F19" i="3"/>
  <c r="F17" i="3"/>
  <c r="E34" i="3" l="1"/>
  <c r="E33" i="3"/>
  <c r="E32" i="3"/>
  <c r="E31" i="3"/>
  <c r="E30" i="3"/>
  <c r="D34" i="3"/>
  <c r="D33" i="3"/>
  <c r="D32" i="3"/>
  <c r="D31" i="3"/>
  <c r="D30" i="3"/>
  <c r="C34" i="3"/>
  <c r="C33" i="3"/>
  <c r="C32" i="3"/>
  <c r="C31" i="3"/>
  <c r="C30" i="3"/>
  <c r="B34" i="3"/>
  <c r="B33" i="3"/>
  <c r="B32" i="3"/>
  <c r="B31" i="3"/>
  <c r="B30" i="3"/>
  <c r="B25" i="3"/>
  <c r="C25" i="3"/>
  <c r="D25" i="3"/>
  <c r="E25" i="3"/>
  <c r="E15" i="3" l="1"/>
  <c r="E19" i="3"/>
  <c r="E18" i="3"/>
  <c r="E17" i="3"/>
  <c r="E16" i="3"/>
  <c r="D19" i="3"/>
  <c r="D18" i="3"/>
  <c r="D17" i="3"/>
  <c r="D16" i="3"/>
  <c r="D15" i="3"/>
  <c r="C19" i="3"/>
  <c r="C18" i="3"/>
  <c r="C17" i="3"/>
  <c r="C16" i="3"/>
  <c r="C15" i="3"/>
  <c r="B19" i="3"/>
  <c r="B18" i="3"/>
  <c r="B17" i="3"/>
  <c r="B16" i="3"/>
  <c r="B15" i="3"/>
  <c r="F9" i="3"/>
  <c r="F8" i="3"/>
  <c r="F7" i="3"/>
  <c r="E7" i="3"/>
  <c r="E9" i="3"/>
  <c r="E8" i="3"/>
  <c r="B9" i="3"/>
  <c r="B8" i="3"/>
  <c r="B7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2" i="1"/>
  <c r="F15" i="3" s="1"/>
  <c r="G7" i="3" l="1"/>
  <c r="G9" i="3"/>
  <c r="G8" i="3"/>
</calcChain>
</file>

<file path=xl/sharedStrings.xml><?xml version="1.0" encoding="utf-8"?>
<sst xmlns="http://schemas.openxmlformats.org/spreadsheetml/2006/main" count="541" uniqueCount="60">
  <si>
    <t>ID Campagne</t>
  </si>
  <si>
    <t>Réseau Social</t>
  </si>
  <si>
    <t>Date de Début</t>
  </si>
  <si>
    <t>Date de Fin</t>
  </si>
  <si>
    <t>Budget de la Campagne (€)</t>
  </si>
  <si>
    <t>Nombre de Vues</t>
  </si>
  <si>
    <t>Nombre de Clics</t>
  </si>
  <si>
    <t>Taux de Conversion (%)</t>
  </si>
  <si>
    <t>Ventes Générées (€)</t>
  </si>
  <si>
    <t>ROI</t>
  </si>
  <si>
    <t>Segmentation du Public - Âge</t>
  </si>
  <si>
    <t>Segmentation du Public - Sexe</t>
  </si>
  <si>
    <t>Centre Intérêt</t>
  </si>
  <si>
    <t>Facebook</t>
  </si>
  <si>
    <t>18-24</t>
  </si>
  <si>
    <t>Homme</t>
  </si>
  <si>
    <t>Beauté</t>
  </si>
  <si>
    <t>Twitter</t>
  </si>
  <si>
    <t>Femme</t>
  </si>
  <si>
    <t>25-34</t>
  </si>
  <si>
    <t>Santé</t>
  </si>
  <si>
    <t>Lifestyle</t>
  </si>
  <si>
    <t>55+</t>
  </si>
  <si>
    <t>Instagram</t>
  </si>
  <si>
    <t>Fitness</t>
  </si>
  <si>
    <t>45-54</t>
  </si>
  <si>
    <t>Mode</t>
  </si>
  <si>
    <t>35-44</t>
  </si>
  <si>
    <t>Reporting Global sur les Réseaux sociaux</t>
  </si>
  <si>
    <t>1. Nombre campagne par réseau</t>
  </si>
  <si>
    <t xml:space="preserve">2. Budget et ventes par Réseau </t>
  </si>
  <si>
    <t>Réseau</t>
  </si>
  <si>
    <t>Nombre de campagne</t>
  </si>
  <si>
    <t xml:space="preserve">Budget investi </t>
  </si>
  <si>
    <t>Ventes générées</t>
  </si>
  <si>
    <t>Différence</t>
  </si>
  <si>
    <t>3. Perfomance par Âge</t>
  </si>
  <si>
    <t>Tranche d'age</t>
  </si>
  <si>
    <t>Nombre total de campages</t>
  </si>
  <si>
    <t>Nombre total de vues</t>
  </si>
  <si>
    <t>Total de ventes générées</t>
  </si>
  <si>
    <t>Taux conversion moyen</t>
  </si>
  <si>
    <t>4. Recherche Campagne</t>
  </si>
  <si>
    <t xml:space="preserve">Date de Début </t>
  </si>
  <si>
    <t>5. Performance par intérêt</t>
  </si>
  <si>
    <t>Nombre total de campagnes</t>
  </si>
  <si>
    <t xml:space="preserve">Total des vues </t>
  </si>
  <si>
    <t>ROI moyen%</t>
  </si>
  <si>
    <t>6. Performance Sexe &amp; Âges</t>
  </si>
  <si>
    <t>Sexes &amp; Âges</t>
  </si>
  <si>
    <t xml:space="preserve">Campagnes </t>
  </si>
  <si>
    <t xml:space="preserve">Nombre de Vues </t>
  </si>
  <si>
    <t xml:space="preserve"> Ventes Générées (€)</t>
  </si>
  <si>
    <t>Moyenne de ROI</t>
  </si>
  <si>
    <t>Total général</t>
  </si>
  <si>
    <t>Somme de ID Campagne</t>
  </si>
  <si>
    <t>Somme de Budget de la Campagne (€)</t>
  </si>
  <si>
    <t>Somme de Ventes Générées (€)</t>
  </si>
  <si>
    <t>Moyenne de Taux de Conversion (%)</t>
  </si>
  <si>
    <t>Étiquettes de colonnes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</si>
</sst>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)\ &quot;€&quot;_ ;_ * \(#,##0.00\)\ &quot;€&quot;_ ;_ * &quot;-&quot;??_)\ &quot;€&quot;_ ;_ @_ "/>
    <numFmt numFmtId="165" formatCode="_-* #,##0.00\ [$€-40C]_-;\-* #,##0.00\ [$€-40C]_-;_-* &quot;-&quot;??\ [$€-40C]_-;_-@_-"/>
    <numFmt numFmtId="166" formatCode="_-* #,##0\ [$€-40C]_-;\-* #,##0\ [$€-40C]_-;_-* &quot;-&quot;??\ [$€-40C]_-;_-@_-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 (Corps)"/>
    </font>
    <font>
      <b/>
      <u/>
      <sz val="14"/>
      <color theme="8" tint="-0.249977111117893"/>
      <name val="Calibri"/>
      <family val="2"/>
      <scheme val="minor"/>
    </font>
    <font>
      <u/>
      <sz val="14"/>
      <color theme="8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 (Corps)"/>
    </font>
    <font>
      <b/>
      <sz val="16"/>
      <color theme="8" tint="-0.249977111117893"/>
      <name val="Calibri (Corps)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/>
      <diagonal/>
    </border>
    <border>
      <left style="thin">
        <color indexed="64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auto="1"/>
      </left>
      <right/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auto="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auto="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61">
    <xf numFmtId="0" fontId="0" fillId="0" borderId="0" xfId="0"/>
    <xf numFmtId="10" fontId="0" fillId="0" borderId="0" xfId="1" applyNumberFormat="1" applyFont="1"/>
    <xf numFmtId="0" fontId="1" fillId="0" borderId="0" xfId="0" applyFont="1"/>
    <xf numFmtId="14" fontId="0" fillId="0" borderId="0" xfId="0" applyNumberFormat="1"/>
    <xf numFmtId="0" fontId="3" fillId="2" borderId="1" xfId="0" applyFont="1" applyFill="1" applyBorder="1" applyAlignment="1">
      <alignment horizontal="center" vertical="top"/>
    </xf>
    <xf numFmtId="14" fontId="3" fillId="2" borderId="1" xfId="0" applyNumberFormat="1" applyFont="1" applyFill="1" applyBorder="1" applyAlignment="1">
      <alignment horizontal="center" vertical="top"/>
    </xf>
    <xf numFmtId="10" fontId="3" fillId="2" borderId="1" xfId="1" applyNumberFormat="1" applyFont="1" applyFill="1" applyBorder="1" applyAlignment="1">
      <alignment horizontal="center" vertical="top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9" fontId="0" fillId="0" borderId="0" xfId="0" applyNumberFormat="1"/>
    <xf numFmtId="166" fontId="0" fillId="0" borderId="0" xfId="0" applyNumberFormat="1"/>
    <xf numFmtId="0" fontId="0" fillId="4" borderId="0" xfId="0" applyFill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3" fillId="0" borderId="0" xfId="0" applyFont="1"/>
    <xf numFmtId="0" fontId="9" fillId="4" borderId="0" xfId="0" applyFont="1" applyFill="1"/>
    <xf numFmtId="0" fontId="0" fillId="0" borderId="3" xfId="0" applyBorder="1"/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0" borderId="6" xfId="0" applyBorder="1"/>
    <xf numFmtId="0" fontId="3" fillId="4" borderId="2" xfId="0" applyFont="1" applyFill="1" applyBorder="1" applyAlignment="1">
      <alignment horizontal="center" vertical="center"/>
    </xf>
    <xf numFmtId="0" fontId="0" fillId="0" borderId="8" xfId="0" applyBorder="1"/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4" fontId="0" fillId="0" borderId="11" xfId="2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9" fontId="0" fillId="0" borderId="9" xfId="1" applyFont="1" applyBorder="1" applyAlignment="1">
      <alignment horizontal="center" vertical="center"/>
    </xf>
    <xf numFmtId="9" fontId="0" fillId="0" borderId="12" xfId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5" fontId="0" fillId="3" borderId="11" xfId="0" applyNumberFormat="1" applyFill="1" applyBorder="1" applyAlignment="1">
      <alignment horizontal="center" vertical="center"/>
    </xf>
    <xf numFmtId="9" fontId="0" fillId="3" borderId="12" xfId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9" fontId="0" fillId="3" borderId="13" xfId="1" applyFont="1" applyFill="1" applyBorder="1" applyAlignment="1">
      <alignment horizontal="center" vertical="center"/>
    </xf>
    <xf numFmtId="0" fontId="0" fillId="5" borderId="0" xfId="0" applyFill="1"/>
    <xf numFmtId="0" fontId="5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9" fontId="0" fillId="0" borderId="12" xfId="1" applyFont="1" applyFill="1" applyBorder="1" applyAlignment="1">
      <alignment horizontal="center" vertical="center"/>
    </xf>
    <xf numFmtId="0" fontId="0" fillId="0" borderId="15" xfId="0" applyBorder="1"/>
    <xf numFmtId="0" fontId="0" fillId="0" borderId="2" xfId="0" applyBorder="1"/>
    <xf numFmtId="0" fontId="0" fillId="0" borderId="16" xfId="0" applyBorder="1"/>
  </cellXfs>
  <cellStyles count="3">
    <cellStyle name="Monétaire" xfId="2" builtinId="4"/>
    <cellStyle name="Normal" xfId="0" builtinId="0"/>
    <cellStyle name="Pourcentage" xfId="1" builtinId="5"/>
  </cellStyles>
  <dxfs count="22">
    <dxf>
      <numFmt numFmtId="13" formatCode="0%"/>
    </dxf>
    <dxf>
      <numFmt numFmtId="13" formatCode="0%"/>
    </dxf>
    <dxf>
      <numFmt numFmtId="166" formatCode="_-* #,##0\ [$€-40C]_-;\-* #,##0\ [$€-40C]_-;_-* &quot;-&quot;??\ [$€-40C]_-;_-@_-"/>
    </dxf>
    <dxf>
      <numFmt numFmtId="166" formatCode="_-* #,##0\ [$€-40C]_-;\-* #,##0\ [$€-40C]_-;_-* &quot;-&quot;??\ [$€-40C]_-;_-@_-"/>
    </dxf>
    <dxf>
      <numFmt numFmtId="13" formatCode="0%"/>
    </dxf>
    <dxf>
      <numFmt numFmtId="166" formatCode="_-* #,##0\ [$€-40C]_-;\-* #,##0\ [$€-40C]_-;_-* &quot;-&quot;??\ [$€-40C]_-;_-@_-"/>
    </dxf>
    <dxf>
      <numFmt numFmtId="13" formatCode="0%"/>
    </dxf>
    <dxf>
      <numFmt numFmtId="13" formatCode="0%"/>
    </dxf>
    <dxf>
      <numFmt numFmtId="165" formatCode="_-* #,##0.00\ [$€-40C]_-;\-* #,##0.00\ [$€-40C]_-;_-* &quot;-&quot;??\ [$€-40C]_-;_-@_-"/>
    </dxf>
    <dxf>
      <numFmt numFmtId="13" formatCode="0%"/>
    </dxf>
    <dxf>
      <numFmt numFmtId="13" formatCode="0%"/>
    </dxf>
    <dxf>
      <numFmt numFmtId="165" formatCode="_-* #,##0.00\ [$€-40C]_-;\-* #,##0.00\ [$€-40C]_-;_-* &quot;-&quot;??\ [$€-40C]_-;_-@_-"/>
    </dxf>
    <dxf>
      <numFmt numFmtId="165" formatCode="_-* #,##0.00\ [$€-40C]_-;\-* #,##0.00\ [$€-40C]_-;_-* &quot;-&quot;??\ [$€-40C]_-;_-@_-"/>
    </dxf>
    <dxf>
      <numFmt numFmtId="165" formatCode="_-* #,##0.00\ [$€-40C]_-;\-* #,##0.00\ [$€-40C]_-;_-* &quot;-&quot;??\ [$€-40C]_-;_-@_-"/>
    </dxf>
    <dxf>
      <numFmt numFmtId="165" formatCode="_-* #,##0.00\ [$€-40C]_-;\-* #,##0.00\ [$€-40C]_-;_-* &quot;-&quot;??\ [$€-40C]_-;_-@_-"/>
    </dxf>
    <dxf>
      <numFmt numFmtId="13" formatCode="0%"/>
    </dxf>
    <dxf>
      <numFmt numFmtId="166" formatCode="_-* #,##0\ [$€-40C]_-;\-* #,##0\ [$€-40C]_-;_-* &quot;-&quot;??\ [$€-40C]_-;_-@_-"/>
    </dxf>
    <dxf>
      <numFmt numFmtId="1" formatCode="0"/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[Diakanua_Laura_ExamenFinal_Module1. copie.xlsx]TCD!Tableau croisé dynamique9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accent5">
                    <a:lumMod val="50000"/>
                  </a:schemeClr>
                </a:solidFill>
              </a:rPr>
              <a:t>Performance</a:t>
            </a:r>
            <a:r>
              <a:rPr lang="fr-FR" baseline="0">
                <a:solidFill>
                  <a:schemeClr val="accent5">
                    <a:lumMod val="50000"/>
                  </a:schemeClr>
                </a:solidFill>
              </a:rPr>
              <a:t> par réseaux</a:t>
            </a:r>
            <a:endParaRPr lang="fr-FR">
              <a:solidFill>
                <a:schemeClr val="accent5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76000"/>
                    <a:shade val="51000"/>
                    <a:satMod val="130000"/>
                  </a:schemeClr>
                </a:gs>
                <a:gs pos="80000">
                  <a:schemeClr val="accent5">
                    <a:shade val="76000"/>
                    <a:shade val="93000"/>
                    <a:satMod val="130000"/>
                  </a:schemeClr>
                </a:gs>
                <a:gs pos="100000">
                  <a:schemeClr val="accent5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1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rgbClr val="7030A0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77000"/>
                    <a:shade val="51000"/>
                    <a:satMod val="130000"/>
                  </a:schemeClr>
                </a:gs>
                <a:gs pos="80000">
                  <a:schemeClr val="accent5">
                    <a:tint val="77000"/>
                    <a:shade val="93000"/>
                    <a:satMod val="130000"/>
                  </a:schemeClr>
                </a:gs>
                <a:gs pos="100000">
                  <a:schemeClr val="accent5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rgbClr val="7030A0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77000"/>
                    <a:shade val="51000"/>
                    <a:satMod val="130000"/>
                  </a:schemeClr>
                </a:gs>
                <a:gs pos="80000">
                  <a:schemeClr val="accent5">
                    <a:tint val="77000"/>
                    <a:shade val="93000"/>
                    <a:satMod val="130000"/>
                  </a:schemeClr>
                </a:gs>
                <a:gs pos="100000">
                  <a:schemeClr val="accent5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ln w="34925" cap="rnd">
            <a:solidFill>
              <a:srgbClr val="7030A0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77000"/>
                    <a:shade val="51000"/>
                    <a:satMod val="130000"/>
                  </a:schemeClr>
                </a:gs>
                <a:gs pos="80000">
                  <a:schemeClr val="accent5">
                    <a:tint val="77000"/>
                    <a:shade val="93000"/>
                    <a:satMod val="130000"/>
                  </a:schemeClr>
                </a:gs>
                <a:gs pos="100000">
                  <a:schemeClr val="accent5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TCD!$B$9</c:f>
              <c:strCache>
                <c:ptCount val="1"/>
                <c:pt idx="0">
                  <c:v>Somme de Ventes Générées (€)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hade val="51000"/>
                    <a:satMod val="130000"/>
                  </a:schemeClr>
                </a:gs>
                <a:gs pos="80000">
                  <a:schemeClr val="accent5">
                    <a:shade val="76000"/>
                    <a:shade val="93000"/>
                    <a:satMod val="130000"/>
                  </a:schemeClr>
                </a:gs>
                <a:gs pos="100000">
                  <a:schemeClr val="accent5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ABC-CD47-B576-9EF1C864783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ABC-CD47-B576-9EF1C864783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ABC-CD47-B576-9EF1C8647833}"/>
              </c:ext>
            </c:extLst>
          </c:dPt>
          <c:cat>
            <c:strRef>
              <c:f>TCD!$A$10:$A$13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TCD!$B$10:$B$13</c:f>
              <c:numCache>
                <c:formatCode>_-* #,##0.00\ [$€-40C]_-;\-* #,##0.00\ [$€-40C]_-;_-* "-"??\ [$€-40C]_-;_-@_-</c:formatCode>
                <c:ptCount val="3"/>
                <c:pt idx="0">
                  <c:v>497803</c:v>
                </c:pt>
                <c:pt idx="1">
                  <c:v>561028</c:v>
                </c:pt>
                <c:pt idx="2">
                  <c:v>411222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BC-CD47-B576-9EF1C8647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5740480"/>
        <c:axId val="195820239"/>
      </c:barChart>
      <c:lineChart>
        <c:grouping val="standard"/>
        <c:varyColors val="0"/>
        <c:ser>
          <c:idx val="1"/>
          <c:order val="1"/>
          <c:tx>
            <c:strRef>
              <c:f>TCD!$C$9</c:f>
              <c:strCache>
                <c:ptCount val="1"/>
                <c:pt idx="0">
                  <c:v>Moyenne de ROI</c:v>
                </c:pt>
              </c:strCache>
            </c:strRef>
          </c:tx>
          <c:spPr>
            <a:ln w="34925" cap="rnd">
              <a:solidFill>
                <a:srgbClr val="7030A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>
                    <a:tint val="7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TCD!$A$10:$A$13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TCD!$C$10:$C$13</c:f>
              <c:numCache>
                <c:formatCode>0%</c:formatCode>
                <c:ptCount val="3"/>
                <c:pt idx="0">
                  <c:v>1.610355799759722</c:v>
                </c:pt>
                <c:pt idx="1">
                  <c:v>1.4655933911004675</c:v>
                </c:pt>
                <c:pt idx="2">
                  <c:v>1.849753125553353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BC-CD47-B576-9EF1C8647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381583"/>
        <c:axId val="151578911"/>
      </c:lineChart>
      <c:catAx>
        <c:axId val="213574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820239"/>
        <c:crosses val="autoZero"/>
        <c:auto val="1"/>
        <c:lblAlgn val="ctr"/>
        <c:lblOffset val="100"/>
        <c:noMultiLvlLbl val="0"/>
      </c:catAx>
      <c:valAx>
        <c:axId val="1958202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 * #,##0_)\ [$€-40C]_ ;_ * \(#,##0\)\ [$€-40C]_ ;_ * &quot;-&quot;_)\ [$€-40C]_ ;_ @_ 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5740480"/>
        <c:crosses val="autoZero"/>
        <c:crossBetween val="between"/>
      </c:valAx>
      <c:valAx>
        <c:axId val="15157891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4381583"/>
        <c:crosses val="max"/>
        <c:crossBetween val="between"/>
      </c:valAx>
      <c:catAx>
        <c:axId val="244381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1578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[Diakanua_Laura_ExamenFinal_Module1. copie.xlsx]TCD!Tableau croisé dynamique10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>
                    <a:lumMod val="75000"/>
                  </a:schemeClr>
                </a:solidFill>
              </a:rPr>
              <a:t>Vente total par tranche d'âge et sexe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TCD!$F$9:$F$10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TCD!$E$11:$E$16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TCD!$F$11:$F$16</c:f>
              <c:numCache>
                <c:formatCode>_-* #,##0\ [$€-40C]_-;\-* #,##0\ [$€-40C]_-;_-* "-"??\ [$€-40C]_-;_-@_-</c:formatCode>
                <c:ptCount val="5"/>
                <c:pt idx="0">
                  <c:v>285491</c:v>
                </c:pt>
                <c:pt idx="1">
                  <c:v>113669</c:v>
                </c:pt>
                <c:pt idx="2">
                  <c:v>149062</c:v>
                </c:pt>
                <c:pt idx="3">
                  <c:v>109389</c:v>
                </c:pt>
                <c:pt idx="4">
                  <c:v>169395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E-C648-BCF7-8CDB3AB9C28A}"/>
            </c:ext>
          </c:extLst>
        </c:ser>
        <c:ser>
          <c:idx val="1"/>
          <c:order val="1"/>
          <c:tx>
            <c:strRef>
              <c:f>TCD!$G$9:$G$10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TCD!$E$11:$E$16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TCD!$G$11:$G$16</c:f>
              <c:numCache>
                <c:formatCode>_-* #,##0\ [$€-40C]_-;\-* #,##0\ [$€-40C]_-;_-* "-"??\ [$€-40C]_-;_-@_-</c:formatCode>
                <c:ptCount val="5"/>
                <c:pt idx="0">
                  <c:v>112718</c:v>
                </c:pt>
                <c:pt idx="1">
                  <c:v>160713</c:v>
                </c:pt>
                <c:pt idx="2">
                  <c:v>121528</c:v>
                </c:pt>
                <c:pt idx="3">
                  <c:v>164896</c:v>
                </c:pt>
                <c:pt idx="4">
                  <c:v>83192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E-C648-BCF7-8CDB3AB9C28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315711"/>
        <c:axId val="151747391"/>
      </c:barChart>
      <c:catAx>
        <c:axId val="10315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747391"/>
        <c:crosses val="autoZero"/>
        <c:auto val="1"/>
        <c:lblAlgn val="ctr"/>
        <c:lblOffset val="100"/>
        <c:noMultiLvlLbl val="0"/>
      </c:catAx>
      <c:valAx>
        <c:axId val="15174739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\ [$€-40C]_-;\-* #,##0\ [$€-40C]_-;_-* &quot;-&quot;??\ [$€-4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1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[Diakanua_Laura_ExamenFinal_Module1. copie.xlsx]TCD!Tableau croisé dynamique12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accent5">
                    <a:lumMod val="75000"/>
                  </a:schemeClr>
                </a:solidFill>
              </a:rPr>
              <a:t>Taux de convertion moyen par trancche d'age et sexe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7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lumMod val="75000"/>
            </a:schemeClr>
          </a:solidFill>
          <a:ln>
            <a:solidFill>
              <a:schemeClr val="accent5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24073538972766E-2"/>
          <c:y val="0.25644187123668366"/>
          <c:w val="0.90475926461027234"/>
          <c:h val="0.448057397430584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TCD!$B$17:$B$18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invertIfNegative val="0"/>
          <c:cat>
            <c:strRef>
              <c:f>TCD!$A$19:$A$24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TCD!$B$19:$B$24</c:f>
              <c:numCache>
                <c:formatCode>0%</c:formatCode>
                <c:ptCount val="5"/>
                <c:pt idx="0">
                  <c:v>5.8179999999999989E-2</c:v>
                </c:pt>
                <c:pt idx="1">
                  <c:v>0.11222222222222222</c:v>
                </c:pt>
                <c:pt idx="2">
                  <c:v>6.9409999999999999E-2</c:v>
                </c:pt>
                <c:pt idx="3">
                  <c:v>4.6610000000000006E-2</c:v>
                </c:pt>
                <c:pt idx="4">
                  <c:v>3.4953846153846155E-2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7-C142-91AB-499A2AAD016D}"/>
            </c:ext>
          </c:extLst>
        </c:ser>
        <c:ser>
          <c:idx val="1"/>
          <c:order val="1"/>
          <c:tx>
            <c:strRef>
              <c:f>TCD!$C$17:$C$18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invertIfNegative val="0"/>
          <c:cat>
            <c:strRef>
              <c:f>TCD!$A$19:$A$24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TCD!$C$19:$C$24</c:f>
              <c:numCache>
                <c:formatCode>0%</c:formatCode>
                <c:ptCount val="5"/>
                <c:pt idx="0">
                  <c:v>0.20317999999999997</c:v>
                </c:pt>
                <c:pt idx="1">
                  <c:v>0.1502857142857143</c:v>
                </c:pt>
                <c:pt idx="2">
                  <c:v>6.0425E-2</c:v>
                </c:pt>
                <c:pt idx="3">
                  <c:v>0.10798333333333333</c:v>
                </c:pt>
                <c:pt idx="4">
                  <c:v>2.69E-2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F7-C142-91AB-499A2AAD0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45110719"/>
        <c:axId val="1360771455"/>
      </c:barChart>
      <c:catAx>
        <c:axId val="24511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0771455"/>
        <c:crosses val="autoZero"/>
        <c:auto val="1"/>
        <c:lblAlgn val="ctr"/>
        <c:lblOffset val="100"/>
        <c:noMultiLvlLbl val="0"/>
      </c:catAx>
      <c:valAx>
        <c:axId val="13607714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511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[Diakanua_Laura_ExamenFinal_Module1. copie.xlsx]TCD!Tableau croisé dynamique13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accent5">
                    <a:lumMod val="75000"/>
                  </a:schemeClr>
                </a:solidFill>
              </a:rPr>
              <a:t>Rentabilité des campagnes</a:t>
            </a:r>
            <a:r>
              <a:rPr lang="fr-FR" b="1" baseline="0">
                <a:solidFill>
                  <a:schemeClr val="accent5">
                    <a:lumMod val="75000"/>
                  </a:schemeClr>
                </a:solidFill>
              </a:rPr>
              <a:t> par centre d'interet</a:t>
            </a:r>
            <a:endParaRPr lang="fr-FR" b="1">
              <a:solidFill>
                <a:schemeClr val="accent5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14214470117464825"/>
          <c:y val="1.56696278349821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4762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50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6"/>
        <c:spPr>
          <a:solidFill>
            <a:schemeClr val="accent1"/>
          </a:solidFill>
          <a:ln w="4762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50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9"/>
        <c:spPr>
          <a:ln w="4762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4762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4590163934426229E-2"/>
              <c:y val="2.83400809716599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4762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3661202185792349E-2"/>
              <c:y val="-8.097165991902834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4762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185792349726776E-2"/>
              <c:y val="3.2388663967611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TCD!$G$20</c:f>
              <c:strCache>
                <c:ptCount val="1"/>
                <c:pt idx="0">
                  <c:v>Somme de Ventes Générées (€)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invertIfNegative val="0"/>
          <c:dPt>
            <c:idx val="2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1-562A-1144-8AF2-955BBF426B12}"/>
              </c:ext>
            </c:extLst>
          </c:dPt>
          <c:cat>
            <c:strRef>
              <c:f>TCD!$F$21:$F$26</c:f>
              <c:strCache>
                <c:ptCount val="5"/>
                <c:pt idx="0">
                  <c:v>Beauté</c:v>
                </c:pt>
                <c:pt idx="1">
                  <c:v>Fitness</c:v>
                </c:pt>
                <c:pt idx="2">
                  <c:v>Lifestyle</c:v>
                </c:pt>
                <c:pt idx="3">
                  <c:v>Mode</c:v>
                </c:pt>
                <c:pt idx="4">
                  <c:v>Santé</c:v>
                </c:pt>
              </c:strCache>
            </c:strRef>
          </c:cat>
          <c:val>
            <c:numRef>
              <c:f>TCD!$G$21:$G$26</c:f>
              <c:numCache>
                <c:formatCode>_-* #,##0\ [$€-40C]_-;\-* #,##0\ [$€-40C]_-;_-* "-"??\ [$€-40C]_-;_-@_-</c:formatCode>
                <c:ptCount val="5"/>
                <c:pt idx="0">
                  <c:v>294810</c:v>
                </c:pt>
                <c:pt idx="1">
                  <c:v>188467</c:v>
                </c:pt>
                <c:pt idx="2">
                  <c:v>405530</c:v>
                </c:pt>
                <c:pt idx="3">
                  <c:v>259371</c:v>
                </c:pt>
                <c:pt idx="4">
                  <c:v>321875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2A-1144-8AF2-955BBF426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993581664"/>
        <c:axId val="642659231"/>
      </c:barChart>
      <c:lineChart>
        <c:grouping val="standard"/>
        <c:varyColors val="0"/>
        <c:ser>
          <c:idx val="1"/>
          <c:order val="1"/>
          <c:tx>
            <c:strRef>
              <c:f>TCD!$H$20</c:f>
              <c:strCache>
                <c:ptCount val="1"/>
                <c:pt idx="0">
                  <c:v>Moyenne de ROI</c:v>
                </c:pt>
              </c:strCache>
            </c:strRef>
          </c:tx>
          <c:spPr>
            <a:ln w="476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47625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62A-1144-8AF2-955BBF426B12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47625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2A-1144-8AF2-955BBF426B12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47625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62A-1144-8AF2-955BBF426B12}"/>
              </c:ext>
            </c:extLst>
          </c:dPt>
          <c:dLbls>
            <c:dLbl>
              <c:idx val="1"/>
              <c:layout>
                <c:manualLayout>
                  <c:x val="-2.185792349726776E-2"/>
                  <c:y val="3.238866396761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2A-1144-8AF2-955BBF426B12}"/>
                </c:ext>
              </c:extLst>
            </c:dLbl>
            <c:dLbl>
              <c:idx val="2"/>
              <c:layout>
                <c:manualLayout>
                  <c:x val="1.3661202185792349E-2"/>
                  <c:y val="-8.097165991902834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2A-1144-8AF2-955BBF426B12}"/>
                </c:ext>
              </c:extLst>
            </c:dLbl>
            <c:dLbl>
              <c:idx val="4"/>
              <c:layout>
                <c:manualLayout>
                  <c:x val="-2.4590163934426229E-2"/>
                  <c:y val="2.83400809716599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2A-1144-8AF2-955BBF426B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TCD!$F$21:$F$26</c:f>
              <c:strCache>
                <c:ptCount val="5"/>
                <c:pt idx="0">
                  <c:v>Beauté</c:v>
                </c:pt>
                <c:pt idx="1">
                  <c:v>Fitness</c:v>
                </c:pt>
                <c:pt idx="2">
                  <c:v>Lifestyle</c:v>
                </c:pt>
                <c:pt idx="3">
                  <c:v>Mode</c:v>
                </c:pt>
                <c:pt idx="4">
                  <c:v>Santé</c:v>
                </c:pt>
              </c:strCache>
            </c:strRef>
          </c:cat>
          <c:val>
            <c:numRef>
              <c:f>TCD!$H$21:$H$26</c:f>
              <c:numCache>
                <c:formatCode>0%</c:formatCode>
                <c:ptCount val="5"/>
                <c:pt idx="0">
                  <c:v>1.701840329960548</c:v>
                </c:pt>
                <c:pt idx="1">
                  <c:v>1.2948473801546858</c:v>
                </c:pt>
                <c:pt idx="2">
                  <c:v>1.7252060724249725</c:v>
                </c:pt>
                <c:pt idx="3">
                  <c:v>1.2802127021201251</c:v>
                </c:pt>
                <c:pt idx="4">
                  <c:v>1.9620465207154063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2A-1144-8AF2-955BBF426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138464"/>
        <c:axId val="1994214864"/>
      </c:lineChart>
      <c:catAx>
        <c:axId val="199358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2659231"/>
        <c:crosses val="autoZero"/>
        <c:auto val="1"/>
        <c:lblAlgn val="ctr"/>
        <c:lblOffset val="100"/>
        <c:noMultiLvlLbl val="0"/>
      </c:catAx>
      <c:valAx>
        <c:axId val="6426592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\ [$€-40C]_-;\-* #,##0\ [$€-40C]_-;_-* &quot;-&quot;??\ [$€-4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3581664"/>
        <c:crosses val="autoZero"/>
        <c:crossBetween val="between"/>
      </c:valAx>
      <c:valAx>
        <c:axId val="19942148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4138464"/>
        <c:crosses val="max"/>
        <c:crossBetween val="between"/>
      </c:valAx>
      <c:catAx>
        <c:axId val="1994138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4214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13" Type="http://schemas.openxmlformats.org/officeDocument/2006/relationships/image" Target="../media/image12.png"/><Relationship Id="rId3" Type="http://schemas.openxmlformats.org/officeDocument/2006/relationships/chart" Target="../charts/chart3.xml"/><Relationship Id="rId7" Type="http://schemas.openxmlformats.org/officeDocument/2006/relationships/image" Target="../media/image6.png"/><Relationship Id="rId12" Type="http://schemas.openxmlformats.org/officeDocument/2006/relationships/image" Target="../media/image11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5.sv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svg"/><Relationship Id="rId4" Type="http://schemas.openxmlformats.org/officeDocument/2006/relationships/chart" Target="../charts/chart4.xml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482600</xdr:colOff>
      <xdr:row>2</xdr:row>
      <xdr:rowOff>139700</xdr:rowOff>
    </xdr:from>
    <xdr:to>
      <xdr:col>3</xdr:col>
      <xdr:colOff>342900</xdr:colOff>
      <xdr:row>2</xdr:row>
      <xdr:rowOff>1092200</xdr:rowOff>
    </xdr:to>
    <xdr:pic>
      <xdr:nvPicPr>
        <xdr:cNvPr id="11" name="Image 10" descr="logo twitter sur fond transparent 6057998 Art vectoriel chez ...">
          <a:extLst>
            <a:ext uri="{FF2B5EF4-FFF2-40B4-BE49-F238E27FC236}">
              <a16:creationId xmlns:a16="http://schemas.microsoft.com/office/drawing/2014/main" id="{6E0AB367-612F-B893-0444-77344CEB5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0" y="660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1193800</xdr:colOff>
      <xdr:row>2</xdr:row>
      <xdr:rowOff>139700</xdr:rowOff>
    </xdr:from>
    <xdr:to>
      <xdr:col>4</xdr:col>
      <xdr:colOff>850900</xdr:colOff>
      <xdr:row>2</xdr:row>
      <xdr:rowOff>1104900</xdr:rowOff>
    </xdr:to>
    <xdr:pic>
      <xdr:nvPicPr>
        <xdr:cNvPr id="12" name="Image 11" descr="Images de Logo instagram sans fond – Téléchargement gratuit sur Freepik">
          <a:extLst>
            <a:ext uri="{FF2B5EF4-FFF2-40B4-BE49-F238E27FC236}">
              <a16:creationId xmlns:a16="http://schemas.microsoft.com/office/drawing/2014/main" id="{3509C22B-8B74-DE31-8C2A-C633A1E3B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400" y="660400"/>
          <a:ext cx="965200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76200</xdr:rowOff>
    </xdr:from>
    <xdr:to>
      <xdr:col>5</xdr:col>
      <xdr:colOff>1041400</xdr:colOff>
      <xdr:row>2</xdr:row>
      <xdr:rowOff>1117600</xdr:rowOff>
    </xdr:to>
    <xdr:pic>
      <xdr:nvPicPr>
        <xdr:cNvPr id="13" name="Image 12" descr="icône 3d facebook 29129371 PNG">
          <a:extLst>
            <a:ext uri="{FF2B5EF4-FFF2-40B4-BE49-F238E27FC236}">
              <a16:creationId xmlns:a16="http://schemas.microsoft.com/office/drawing/2014/main" id="{9CABB7E8-5A71-BEA7-E91A-3594315E5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596900"/>
          <a:ext cx="1041400" cy="104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63500</xdr:rowOff>
    </xdr:from>
    <xdr:to>
      <xdr:col>1</xdr:col>
      <xdr:colOff>698500</xdr:colOff>
      <xdr:row>42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85F0AF6-1B9F-1471-7EBC-07B9201A3869}"/>
            </a:ext>
          </a:extLst>
        </xdr:cNvPr>
        <xdr:cNvSpPr/>
      </xdr:nvSpPr>
      <xdr:spPr>
        <a:xfrm>
          <a:off x="25400" y="63500"/>
          <a:ext cx="1498600" cy="7937500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774700</xdr:colOff>
      <xdr:row>0</xdr:row>
      <xdr:rowOff>101600</xdr:rowOff>
    </xdr:from>
    <xdr:to>
      <xdr:col>19</xdr:col>
      <xdr:colOff>647700</xdr:colOff>
      <xdr:row>5</xdr:row>
      <xdr:rowOff>63500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8D617598-4A2C-E607-88E4-59EF43A16DA8}"/>
            </a:ext>
          </a:extLst>
        </xdr:cNvPr>
        <xdr:cNvSpPr/>
      </xdr:nvSpPr>
      <xdr:spPr>
        <a:xfrm>
          <a:off x="1600200" y="101600"/>
          <a:ext cx="14732000" cy="1066800"/>
        </a:xfrm>
        <a:prstGeom prst="roundRect">
          <a:avLst/>
        </a:prstGeom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762000</xdr:colOff>
      <xdr:row>1</xdr:row>
      <xdr:rowOff>0</xdr:rowOff>
    </xdr:from>
    <xdr:to>
      <xdr:col>14</xdr:col>
      <xdr:colOff>279400</xdr:colOff>
      <xdr:row>4</xdr:row>
      <xdr:rowOff>12700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1DE8C485-7B58-9A4B-8B5F-DEB08E62CF2E}"/>
            </a:ext>
          </a:extLst>
        </xdr:cNvPr>
        <xdr:cNvSpPr/>
      </xdr:nvSpPr>
      <xdr:spPr>
        <a:xfrm>
          <a:off x="1587500" y="190500"/>
          <a:ext cx="10248900" cy="736600"/>
        </a:xfrm>
        <a:prstGeom prst="roundRect">
          <a:avLst>
            <a:gd name="adj" fmla="val 648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 b="1">
              <a:solidFill>
                <a:schemeClr val="accent5">
                  <a:lumMod val="75000"/>
                </a:schemeClr>
              </a:solidFill>
            </a:rPr>
            <a:t>Campagne publicitaire - 2021 - 2024</a:t>
          </a:r>
        </a:p>
      </xdr:txBody>
    </xdr:sp>
    <xdr:clientData/>
  </xdr:twoCellAnchor>
  <xdr:twoCellAnchor>
    <xdr:from>
      <xdr:col>8</xdr:col>
      <xdr:colOff>22225</xdr:colOff>
      <xdr:row>5</xdr:row>
      <xdr:rowOff>53975</xdr:rowOff>
    </xdr:from>
    <xdr:to>
      <xdr:col>10</xdr:col>
      <xdr:colOff>615950</xdr:colOff>
      <xdr:row>9</xdr:row>
      <xdr:rowOff>155575</xdr:rowOff>
    </xdr:to>
    <xdr:sp macro="" textlink="TCD!A4">
      <xdr:nvSpPr>
        <xdr:cNvPr id="9" name="Rectangle : coins arrondis 8">
          <a:extLst>
            <a:ext uri="{FF2B5EF4-FFF2-40B4-BE49-F238E27FC236}">
              <a16:creationId xmlns:a16="http://schemas.microsoft.com/office/drawing/2014/main" id="{F6B89E73-A902-4742-8165-E4BBC6AA1360}"/>
            </a:ext>
            <a:ext uri="{147F2762-F138-4A5C-976F-8EAC2B608ADB}">
              <a16:predDERef xmlns:a16="http://schemas.microsoft.com/office/drawing/2014/main" pred="{1DE8C485-7B58-9A4B-8B5F-DEB08E62CF2E}"/>
            </a:ext>
          </a:extLst>
        </xdr:cNvPr>
        <xdr:cNvSpPr/>
      </xdr:nvSpPr>
      <xdr:spPr>
        <a:xfrm>
          <a:off x="6118225" y="1158875"/>
          <a:ext cx="2117725" cy="863600"/>
        </a:xfrm>
        <a:prstGeom prst="roundRect">
          <a:avLst>
            <a:gd name="adj" fmla="val 648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5B2FE31-ED5E-4A44-AA21-F263F68943F2}" type="TxLink">
            <a:rPr lang="en-US" sz="1800" b="1" i="0" u="none" strike="noStrike">
              <a:solidFill>
                <a:schemeClr val="accent5">
                  <a:lumMod val="50000"/>
                </a:schemeClr>
              </a:solidFill>
              <a:latin typeface="Calibri"/>
              <a:cs typeface="Calibri"/>
            </a:rPr>
            <a:pPr algn="ctr"/>
            <a:t>5565</a:t>
          </a:fld>
          <a:endParaRPr lang="fr-FR" sz="18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800100</xdr:colOff>
      <xdr:row>5</xdr:row>
      <xdr:rowOff>50800</xdr:rowOff>
    </xdr:from>
    <xdr:to>
      <xdr:col>4</xdr:col>
      <xdr:colOff>774700</xdr:colOff>
      <xdr:row>9</xdr:row>
      <xdr:rowOff>177800</xdr:rowOff>
    </xdr:to>
    <xdr:sp macro="" textlink="TCD!C4">
      <xdr:nvSpPr>
        <xdr:cNvPr id="10" name="Rectangle : coins arrondis 9">
          <a:extLst>
            <a:ext uri="{FF2B5EF4-FFF2-40B4-BE49-F238E27FC236}">
              <a16:creationId xmlns:a16="http://schemas.microsoft.com/office/drawing/2014/main" id="{CF5E449F-4695-36A6-89A2-65E2E70D848D}"/>
            </a:ext>
          </a:extLst>
        </xdr:cNvPr>
        <xdr:cNvSpPr/>
      </xdr:nvSpPr>
      <xdr:spPr>
        <a:xfrm>
          <a:off x="1625600" y="1155700"/>
          <a:ext cx="2451100" cy="889000"/>
        </a:xfrm>
        <a:prstGeom prst="roundRect">
          <a:avLst>
            <a:gd name="adj" fmla="val 648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A788E85-01EE-7B44-B126-F740424DEAAC}" type="TxLink">
            <a:rPr lang="en-US" sz="1800" b="1" i="0" u="none" strike="noStrike">
              <a:solidFill>
                <a:schemeClr val="accent5">
                  <a:lumMod val="50000"/>
                </a:schemeClr>
              </a:solidFill>
              <a:latin typeface="Calibri"/>
              <a:cs typeface="Calibri"/>
            </a:rPr>
            <a:pPr algn="ctr"/>
            <a:t> 561 256 € </a:t>
          </a:fld>
          <a:endParaRPr lang="fr-FR" sz="18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38100</xdr:colOff>
      <xdr:row>5</xdr:row>
      <xdr:rowOff>50800</xdr:rowOff>
    </xdr:from>
    <xdr:to>
      <xdr:col>7</xdr:col>
      <xdr:colOff>698500</xdr:colOff>
      <xdr:row>9</xdr:row>
      <xdr:rowOff>165100</xdr:rowOff>
    </xdr:to>
    <xdr:sp macro="" textlink="TCD!E4">
      <xdr:nvSpPr>
        <xdr:cNvPr id="11" name="Rectangle : coins arrondis 10">
          <a:extLst>
            <a:ext uri="{FF2B5EF4-FFF2-40B4-BE49-F238E27FC236}">
              <a16:creationId xmlns:a16="http://schemas.microsoft.com/office/drawing/2014/main" id="{3257A5AD-EB1F-0170-7136-5825FA748DA4}"/>
            </a:ext>
          </a:extLst>
        </xdr:cNvPr>
        <xdr:cNvSpPr/>
      </xdr:nvSpPr>
      <xdr:spPr>
        <a:xfrm>
          <a:off x="4165600" y="1155700"/>
          <a:ext cx="2311400" cy="876300"/>
        </a:xfrm>
        <a:prstGeom prst="roundRect">
          <a:avLst>
            <a:gd name="adj" fmla="val 648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A8C0A49-3615-2A43-AE82-E5C80F6844B9}" type="TxLink">
            <a:rPr lang="en-US" sz="1800" b="1" i="0" u="none" strike="noStrike">
              <a:solidFill>
                <a:schemeClr val="accent5">
                  <a:lumMod val="50000"/>
                </a:schemeClr>
              </a:solidFill>
              <a:latin typeface="Calibri"/>
              <a:cs typeface="Calibri"/>
            </a:rPr>
            <a:pPr algn="ctr"/>
            <a:t>1470053</a:t>
          </a:fld>
          <a:endParaRPr lang="fr-FR" sz="18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749300</xdr:colOff>
      <xdr:row>5</xdr:row>
      <xdr:rowOff>50800</xdr:rowOff>
    </xdr:from>
    <xdr:to>
      <xdr:col>12</xdr:col>
      <xdr:colOff>635000</xdr:colOff>
      <xdr:row>9</xdr:row>
      <xdr:rowOff>152400</xdr:rowOff>
    </xdr:to>
    <xdr:sp macro="" textlink="TCD!A7">
      <xdr:nvSpPr>
        <xdr:cNvPr id="15" name="Rectangle : coins arrondis 14">
          <a:extLst>
            <a:ext uri="{FF2B5EF4-FFF2-40B4-BE49-F238E27FC236}">
              <a16:creationId xmlns:a16="http://schemas.microsoft.com/office/drawing/2014/main" id="{9FE0F47C-32A3-46F8-70E9-33B619EB50B2}"/>
            </a:ext>
          </a:extLst>
        </xdr:cNvPr>
        <xdr:cNvSpPr/>
      </xdr:nvSpPr>
      <xdr:spPr>
        <a:xfrm>
          <a:off x="9004300" y="1155700"/>
          <a:ext cx="1536700" cy="863600"/>
        </a:xfrm>
        <a:prstGeom prst="roundRect">
          <a:avLst>
            <a:gd name="adj" fmla="val 648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9BE3F4B-611A-2843-B810-CD39BA5773A9}" type="TxLink">
            <a:rPr lang="en-US" sz="1800" b="1" i="0" u="none" strike="noStrike">
              <a:solidFill>
                <a:schemeClr val="accent5">
                  <a:lumMod val="50000"/>
                </a:schemeClr>
              </a:solidFill>
              <a:latin typeface="Calibri"/>
              <a:cs typeface="Calibri"/>
            </a:rPr>
            <a:pPr algn="ctr"/>
            <a:t>162%</a:t>
          </a:fld>
          <a:endParaRPr lang="fr-FR" sz="18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12700</xdr:colOff>
      <xdr:row>5</xdr:row>
      <xdr:rowOff>50800</xdr:rowOff>
    </xdr:from>
    <xdr:to>
      <xdr:col>14</xdr:col>
      <xdr:colOff>584200</xdr:colOff>
      <xdr:row>9</xdr:row>
      <xdr:rowOff>152400</xdr:rowOff>
    </xdr:to>
    <xdr:sp macro="" textlink="TCD!C7">
      <xdr:nvSpPr>
        <xdr:cNvPr id="16" name="Rectangle : coins arrondis 15">
          <a:extLst>
            <a:ext uri="{FF2B5EF4-FFF2-40B4-BE49-F238E27FC236}">
              <a16:creationId xmlns:a16="http://schemas.microsoft.com/office/drawing/2014/main" id="{1E7ADD22-9EB7-2495-8E12-F44ED7FAF8FA}"/>
            </a:ext>
          </a:extLst>
        </xdr:cNvPr>
        <xdr:cNvSpPr/>
      </xdr:nvSpPr>
      <xdr:spPr>
        <a:xfrm>
          <a:off x="10744200" y="1155700"/>
          <a:ext cx="1397000" cy="863600"/>
        </a:xfrm>
        <a:prstGeom prst="roundRect">
          <a:avLst>
            <a:gd name="adj" fmla="val 648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4DD3E57-32B4-F649-BB45-3C77200A92DA}" type="TxLink">
            <a:rPr lang="en-US" sz="1800" b="1" i="0" u="none" strike="noStrike">
              <a:solidFill>
                <a:schemeClr val="accent5">
                  <a:lumMod val="50000"/>
                </a:schemeClr>
              </a:solidFill>
              <a:latin typeface="Calibri"/>
              <a:cs typeface="Calibri"/>
            </a:rPr>
            <a:pPr algn="ctr"/>
            <a:t>9%</a:t>
          </a:fld>
          <a:endParaRPr lang="fr-FR" sz="18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279400</xdr:colOff>
      <xdr:row>10</xdr:row>
      <xdr:rowOff>177800</xdr:rowOff>
    </xdr:from>
    <xdr:to>
      <xdr:col>14</xdr:col>
      <xdr:colOff>419100</xdr:colOff>
      <xdr:row>23</xdr:row>
      <xdr:rowOff>12700</xdr:rowOff>
    </xdr:to>
    <xdr:sp macro="" textlink="">
      <xdr:nvSpPr>
        <xdr:cNvPr id="18" name="Rectangle : coins arrondis 17">
          <a:extLst>
            <a:ext uri="{FF2B5EF4-FFF2-40B4-BE49-F238E27FC236}">
              <a16:creationId xmlns:a16="http://schemas.microsoft.com/office/drawing/2014/main" id="{64F94E70-31FE-A34F-995C-7B1AB81CC3A0}"/>
            </a:ext>
          </a:extLst>
        </xdr:cNvPr>
        <xdr:cNvSpPr/>
      </xdr:nvSpPr>
      <xdr:spPr>
        <a:xfrm>
          <a:off x="6057900" y="2235200"/>
          <a:ext cx="5918200" cy="2311400"/>
        </a:xfrm>
        <a:prstGeom prst="roundRect">
          <a:avLst>
            <a:gd name="adj" fmla="val 648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7</xdr:col>
      <xdr:colOff>711200</xdr:colOff>
      <xdr:row>12</xdr:row>
      <xdr:rowOff>38100</xdr:rowOff>
    </xdr:from>
    <xdr:to>
      <xdr:col>14</xdr:col>
      <xdr:colOff>304800</xdr:colOff>
      <xdr:row>21</xdr:row>
      <xdr:rowOff>76200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64E085D2-5125-EF44-A8CF-225CD03087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50800</xdr:colOff>
      <xdr:row>24</xdr:row>
      <xdr:rowOff>165100</xdr:rowOff>
    </xdr:from>
    <xdr:to>
      <xdr:col>14</xdr:col>
      <xdr:colOff>774700</xdr:colOff>
      <xdr:row>37</xdr:row>
      <xdr:rowOff>101600</xdr:rowOff>
    </xdr:to>
    <xdr:sp macro="" textlink="">
      <xdr:nvSpPr>
        <xdr:cNvPr id="20" name="Rectangle : coins arrondis 19">
          <a:extLst>
            <a:ext uri="{FF2B5EF4-FFF2-40B4-BE49-F238E27FC236}">
              <a16:creationId xmlns:a16="http://schemas.microsoft.com/office/drawing/2014/main" id="{02539777-94AB-EC54-E5F7-8033F9D66EB1}"/>
            </a:ext>
          </a:extLst>
        </xdr:cNvPr>
        <xdr:cNvSpPr/>
      </xdr:nvSpPr>
      <xdr:spPr>
        <a:xfrm>
          <a:off x="6654800" y="4889500"/>
          <a:ext cx="5676900" cy="2413000"/>
        </a:xfrm>
        <a:prstGeom prst="roundRect">
          <a:avLst>
            <a:gd name="adj" fmla="val 648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812800</xdr:colOff>
      <xdr:row>10</xdr:row>
      <xdr:rowOff>165100</xdr:rowOff>
    </xdr:from>
    <xdr:to>
      <xdr:col>7</xdr:col>
      <xdr:colOff>88900</xdr:colOff>
      <xdr:row>26</xdr:row>
      <xdr:rowOff>101600</xdr:rowOff>
    </xdr:to>
    <xdr:sp macro="" textlink="">
      <xdr:nvSpPr>
        <xdr:cNvPr id="21" name="Rectangle : coins arrondis 20">
          <a:extLst>
            <a:ext uri="{FF2B5EF4-FFF2-40B4-BE49-F238E27FC236}">
              <a16:creationId xmlns:a16="http://schemas.microsoft.com/office/drawing/2014/main" id="{5CC4483D-77D7-F78D-E7F9-2C2B94A0764C}"/>
            </a:ext>
          </a:extLst>
        </xdr:cNvPr>
        <xdr:cNvSpPr/>
      </xdr:nvSpPr>
      <xdr:spPr>
        <a:xfrm>
          <a:off x="1638300" y="2222500"/>
          <a:ext cx="4229100" cy="2984500"/>
        </a:xfrm>
        <a:prstGeom prst="roundRect">
          <a:avLst>
            <a:gd name="adj" fmla="val 648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342900</xdr:colOff>
      <xdr:row>12</xdr:row>
      <xdr:rowOff>76200</xdr:rowOff>
    </xdr:from>
    <xdr:to>
      <xdr:col>6</xdr:col>
      <xdr:colOff>749300</xdr:colOff>
      <xdr:row>25</xdr:row>
      <xdr:rowOff>57150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E6CE2E44-6962-084B-9BC5-9227D7DDA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469900</xdr:colOff>
      <xdr:row>25</xdr:row>
      <xdr:rowOff>152400</xdr:rowOff>
    </xdr:from>
    <xdr:to>
      <xdr:col>14</xdr:col>
      <xdr:colOff>444500</xdr:colOff>
      <xdr:row>37</xdr:row>
      <xdr:rowOff>25400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0F8C0833-2676-4943-A2F9-AA25D3DCA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12700</xdr:colOff>
      <xdr:row>27</xdr:row>
      <xdr:rowOff>50800</xdr:rowOff>
    </xdr:from>
    <xdr:to>
      <xdr:col>7</xdr:col>
      <xdr:colOff>749300</xdr:colOff>
      <xdr:row>44</xdr:row>
      <xdr:rowOff>177800</xdr:rowOff>
    </xdr:to>
    <xdr:sp macro="" textlink="">
      <xdr:nvSpPr>
        <xdr:cNvPr id="25" name="Rectangle : coins arrondis 24">
          <a:extLst>
            <a:ext uri="{FF2B5EF4-FFF2-40B4-BE49-F238E27FC236}">
              <a16:creationId xmlns:a16="http://schemas.microsoft.com/office/drawing/2014/main" id="{290FEECE-BA3A-C84D-A167-4BC4CDA81434}"/>
            </a:ext>
          </a:extLst>
        </xdr:cNvPr>
        <xdr:cNvSpPr/>
      </xdr:nvSpPr>
      <xdr:spPr>
        <a:xfrm>
          <a:off x="1663700" y="5346700"/>
          <a:ext cx="4864100" cy="3365500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355600</xdr:colOff>
      <xdr:row>28</xdr:row>
      <xdr:rowOff>12700</xdr:rowOff>
    </xdr:from>
    <xdr:to>
      <xdr:col>7</xdr:col>
      <xdr:colOff>482600</xdr:colOff>
      <xdr:row>44</xdr:row>
      <xdr:rowOff>101600</xdr:rowOff>
    </xdr:to>
    <xdr:graphicFrame macro="">
      <xdr:nvGraphicFramePr>
        <xdr:cNvPr id="24" name="Graphique 23">
          <a:extLst>
            <a:ext uri="{FF2B5EF4-FFF2-40B4-BE49-F238E27FC236}">
              <a16:creationId xmlns:a16="http://schemas.microsoft.com/office/drawing/2014/main" id="{C6CC000E-2F8A-E344-9ABA-7481150A3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38100</xdr:colOff>
      <xdr:row>1</xdr:row>
      <xdr:rowOff>1</xdr:rowOff>
    </xdr:from>
    <xdr:to>
      <xdr:col>17</xdr:col>
      <xdr:colOff>723900</xdr:colOff>
      <xdr:row>9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Centre Intérêt">
              <a:extLst>
                <a:ext uri="{FF2B5EF4-FFF2-40B4-BE49-F238E27FC236}">
                  <a16:creationId xmlns:a16="http://schemas.microsoft.com/office/drawing/2014/main" id="{6B27E0E7-8521-6941-8BD4-95F26BEF58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e Intérê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20600" y="190501"/>
              <a:ext cx="2336800" cy="167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12700</xdr:colOff>
      <xdr:row>18</xdr:row>
      <xdr:rowOff>152401</xdr:rowOff>
    </xdr:from>
    <xdr:to>
      <xdr:col>18</xdr:col>
      <xdr:colOff>38100</xdr:colOff>
      <xdr:row>23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Segmentation du Public - Sexe">
              <a:extLst>
                <a:ext uri="{FF2B5EF4-FFF2-40B4-BE49-F238E27FC236}">
                  <a16:creationId xmlns:a16="http://schemas.microsoft.com/office/drawing/2014/main" id="{C22C3A41-E4C5-A444-8D72-1F0EEFF7A8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ation du Public - Sex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95200" y="3733801"/>
              <a:ext cx="2501900" cy="8381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12700</xdr:colOff>
      <xdr:row>9</xdr:row>
      <xdr:rowOff>76201</xdr:rowOff>
    </xdr:from>
    <xdr:to>
      <xdr:col>17</xdr:col>
      <xdr:colOff>758825</xdr:colOff>
      <xdr:row>18</xdr:row>
      <xdr:rowOff>25401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Segmentation du Public - Âge">
              <a:extLst>
                <a:ext uri="{FF2B5EF4-FFF2-40B4-BE49-F238E27FC236}">
                  <a16:creationId xmlns:a16="http://schemas.microsoft.com/office/drawing/2014/main" id="{D137751B-95C4-F948-B75A-DD0C51563D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ation du Public - Â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95200" y="1943101"/>
              <a:ext cx="2425700" cy="1663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292100</xdr:colOff>
      <xdr:row>23</xdr:row>
      <xdr:rowOff>101601</xdr:rowOff>
    </xdr:from>
    <xdr:to>
      <xdr:col>17</xdr:col>
      <xdr:colOff>469900</xdr:colOff>
      <xdr:row>29</xdr:row>
      <xdr:rowOff>38101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Réseau Social">
              <a:extLst>
                <a:ext uri="{FF2B5EF4-FFF2-40B4-BE49-F238E27FC236}">
                  <a16:creationId xmlns:a16="http://schemas.microsoft.com/office/drawing/2014/main" id="{5F420959-0C1F-0D4D-84D4-1A8EB70093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seau So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74600" y="4635501"/>
              <a:ext cx="1828800" cy="107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295275</xdr:colOff>
      <xdr:row>8</xdr:row>
      <xdr:rowOff>9525</xdr:rowOff>
    </xdr:from>
    <xdr:to>
      <xdr:col>7</xdr:col>
      <xdr:colOff>612775</xdr:colOff>
      <xdr:row>9</xdr:row>
      <xdr:rowOff>136525</xdr:rowOff>
    </xdr:to>
    <xdr:pic>
      <xdr:nvPicPr>
        <xdr:cNvPr id="33" name="Graphique 32" descr="Chariot de courses avec un remplissage uni">
          <a:extLst>
            <a:ext uri="{FF2B5EF4-FFF2-40B4-BE49-F238E27FC236}">
              <a16:creationId xmlns:a16="http://schemas.microsoft.com/office/drawing/2014/main" id="{3E15BB84-0D31-F541-20FC-DD80B962B701}"/>
            </a:ext>
            <a:ext uri="{147F2762-F138-4A5C-976F-8EAC2B608ADB}">
              <a16:predDERef xmlns:a16="http://schemas.microsoft.com/office/drawing/2014/main" pred="{5F420959-0C1F-0D4D-84D4-1A8EB7009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29275" y="1685925"/>
          <a:ext cx="317500" cy="317500"/>
        </a:xfrm>
        <a:prstGeom prst="rect">
          <a:avLst/>
        </a:prstGeom>
      </xdr:spPr>
    </xdr:pic>
    <xdr:clientData/>
  </xdr:twoCellAnchor>
  <xdr:twoCellAnchor editAs="oneCell">
    <xdr:from>
      <xdr:col>10</xdr:col>
      <xdr:colOff>215900</xdr:colOff>
      <xdr:row>7</xdr:row>
      <xdr:rowOff>174625</xdr:rowOff>
    </xdr:from>
    <xdr:to>
      <xdr:col>10</xdr:col>
      <xdr:colOff>558800</xdr:colOff>
      <xdr:row>9</xdr:row>
      <xdr:rowOff>136525</xdr:rowOff>
    </xdr:to>
    <xdr:pic>
      <xdr:nvPicPr>
        <xdr:cNvPr id="35" name="Graphique 34" descr="Mégaphone avec un remplissage uni">
          <a:extLst>
            <a:ext uri="{FF2B5EF4-FFF2-40B4-BE49-F238E27FC236}">
              <a16:creationId xmlns:a16="http://schemas.microsoft.com/office/drawing/2014/main" id="{1FA15B0A-5659-96A2-0B06-230D99F609EB}"/>
            </a:ext>
            <a:ext uri="{147F2762-F138-4A5C-976F-8EAC2B608ADB}">
              <a16:predDERef xmlns:a16="http://schemas.microsoft.com/office/drawing/2014/main" pred="{3E15BB84-0D31-F541-20FC-DD80B962B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835900" y="1660525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4</xdr:col>
      <xdr:colOff>193675</xdr:colOff>
      <xdr:row>7</xdr:row>
      <xdr:rowOff>92075</xdr:rowOff>
    </xdr:from>
    <xdr:to>
      <xdr:col>4</xdr:col>
      <xdr:colOff>701675</xdr:colOff>
      <xdr:row>10</xdr:row>
      <xdr:rowOff>28575</xdr:rowOff>
    </xdr:to>
    <xdr:pic>
      <xdr:nvPicPr>
        <xdr:cNvPr id="39" name="Graphique 38" descr="Argent avec un remplissage uni">
          <a:extLst>
            <a:ext uri="{FF2B5EF4-FFF2-40B4-BE49-F238E27FC236}">
              <a16:creationId xmlns:a16="http://schemas.microsoft.com/office/drawing/2014/main" id="{AF7D792F-4E96-CE7A-BD37-16A9DBDD9CDA}"/>
            </a:ext>
            <a:ext uri="{147F2762-F138-4A5C-976F-8EAC2B608ADB}">
              <a16:predDERef xmlns:a16="http://schemas.microsoft.com/office/drawing/2014/main" pred="{1FA15B0A-5659-96A2-0B06-230D99F60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241675" y="1577975"/>
          <a:ext cx="508000" cy="50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222250</xdr:colOff>
      <xdr:row>7</xdr:row>
      <xdr:rowOff>92075</xdr:rowOff>
    </xdr:from>
    <xdr:to>
      <xdr:col>12</xdr:col>
      <xdr:colOff>641350</xdr:colOff>
      <xdr:row>9</xdr:row>
      <xdr:rowOff>130175</xdr:rowOff>
    </xdr:to>
    <xdr:pic>
      <xdr:nvPicPr>
        <xdr:cNvPr id="41" name="Graphique 40" descr="Couronne contour">
          <a:extLst>
            <a:ext uri="{FF2B5EF4-FFF2-40B4-BE49-F238E27FC236}">
              <a16:creationId xmlns:a16="http://schemas.microsoft.com/office/drawing/2014/main" id="{D5937EAA-8CA9-5F82-11FF-A3F5B0799835}"/>
            </a:ext>
            <a:ext uri="{147F2762-F138-4A5C-976F-8EAC2B608ADB}">
              <a16:predDERef xmlns:a16="http://schemas.microsoft.com/office/drawing/2014/main" pred="{AF7D792F-4E96-CE7A-BD37-16A9DBDD9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366250" y="1577975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7</xdr:row>
      <xdr:rowOff>123825</xdr:rowOff>
    </xdr:from>
    <xdr:to>
      <xdr:col>14</xdr:col>
      <xdr:colOff>495300</xdr:colOff>
      <xdr:row>9</xdr:row>
      <xdr:rowOff>111125</xdr:rowOff>
    </xdr:to>
    <xdr:pic>
      <xdr:nvPicPr>
        <xdr:cNvPr id="42" name="Image 41">
          <a:extLst>
            <a:ext uri="{FF2B5EF4-FFF2-40B4-BE49-F238E27FC236}">
              <a16:creationId xmlns:a16="http://schemas.microsoft.com/office/drawing/2014/main" id="{FE434CB7-2C95-E134-1F4C-2F5478C07316}"/>
            </a:ext>
            <a:ext uri="{147F2762-F138-4A5C-976F-8EAC2B608ADB}">
              <a16:predDERef xmlns:a16="http://schemas.microsoft.com/office/drawing/2014/main" pred="{D5937EAA-8CA9-5F82-11FF-A3F5B0799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795000" y="1609725"/>
          <a:ext cx="368300" cy="368300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5</xdr:row>
      <xdr:rowOff>114300</xdr:rowOff>
    </xdr:from>
    <xdr:to>
      <xdr:col>4</xdr:col>
      <xdr:colOff>666750</xdr:colOff>
      <xdr:row>6</xdr:row>
      <xdr:rowOff>171450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CE245C77-0AB8-C0BA-92AA-5332CC469D3E}"/>
            </a:ext>
            <a:ext uri="{147F2762-F138-4A5C-976F-8EAC2B608ADB}">
              <a16:predDERef xmlns:a16="http://schemas.microsoft.com/office/drawing/2014/main" pred="{FE434CB7-2C95-E134-1F4C-2F5478C07316}"/>
            </a:ext>
          </a:extLst>
        </xdr:cNvPr>
        <xdr:cNvSpPr txBox="1"/>
      </xdr:nvSpPr>
      <xdr:spPr>
        <a:xfrm>
          <a:off x="1666875" y="1219200"/>
          <a:ext cx="2047875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1">
              <a:solidFill>
                <a:schemeClr val="accent5">
                  <a:lumMod val="50000"/>
                </a:schemeClr>
              </a:solidFill>
              <a:latin typeface="+mn-lt"/>
              <a:ea typeface="+mn-lt"/>
              <a:cs typeface="+mn-lt"/>
            </a:rPr>
            <a:t>Chiffre d’Affaires</a:t>
          </a:r>
        </a:p>
      </xdr:txBody>
    </xdr:sp>
    <xdr:clientData/>
  </xdr:twoCellAnchor>
  <xdr:twoCellAnchor>
    <xdr:from>
      <xdr:col>5</xdr:col>
      <xdr:colOff>114300</xdr:colOff>
      <xdr:row>5</xdr:row>
      <xdr:rowOff>95250</xdr:rowOff>
    </xdr:from>
    <xdr:to>
      <xdr:col>7</xdr:col>
      <xdr:colOff>638175</xdr:colOff>
      <xdr:row>6</xdr:row>
      <xdr:rowOff>152400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6ABE1B9D-2578-4C9A-B071-0E844BA8E29C}"/>
            </a:ext>
            <a:ext uri="{147F2762-F138-4A5C-976F-8EAC2B608ADB}">
              <a16:predDERef xmlns:a16="http://schemas.microsoft.com/office/drawing/2014/main" pred="{CE245C77-0AB8-C0BA-92AA-5332CC469D3E}"/>
            </a:ext>
          </a:extLst>
        </xdr:cNvPr>
        <xdr:cNvSpPr txBox="1"/>
      </xdr:nvSpPr>
      <xdr:spPr>
        <a:xfrm>
          <a:off x="3924300" y="1200150"/>
          <a:ext cx="2047875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chemeClr val="accent5">
                  <a:lumMod val="50000"/>
                </a:schemeClr>
              </a:solidFill>
              <a:latin typeface="+mn-lt"/>
              <a:ea typeface="+mn-lt"/>
              <a:cs typeface="+mn-lt"/>
            </a:rPr>
            <a:t>Nombre d’Impressions</a:t>
          </a:r>
        </a:p>
      </xdr:txBody>
    </xdr:sp>
    <xdr:clientData/>
  </xdr:twoCellAnchor>
  <xdr:twoCellAnchor>
    <xdr:from>
      <xdr:col>8</xdr:col>
      <xdr:colOff>57150</xdr:colOff>
      <xdr:row>5</xdr:row>
      <xdr:rowOff>114300</xdr:rowOff>
    </xdr:from>
    <xdr:to>
      <xdr:col>10</xdr:col>
      <xdr:colOff>581025</xdr:colOff>
      <xdr:row>6</xdr:row>
      <xdr:rowOff>171450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C467D15F-78D7-4B39-8D35-DB081A283FED}"/>
            </a:ext>
            <a:ext uri="{147F2762-F138-4A5C-976F-8EAC2B608ADB}">
              <a16:predDERef xmlns:a16="http://schemas.microsoft.com/office/drawing/2014/main" pred="{6ABE1B9D-2578-4C9A-B071-0E844BA8E29C}"/>
            </a:ext>
          </a:extLst>
        </xdr:cNvPr>
        <xdr:cNvSpPr txBox="1"/>
      </xdr:nvSpPr>
      <xdr:spPr>
        <a:xfrm>
          <a:off x="6153150" y="1219200"/>
          <a:ext cx="2047875" cy="2476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chemeClr val="accent5">
                  <a:lumMod val="50000"/>
                </a:schemeClr>
              </a:solidFill>
              <a:latin typeface="+mn-lt"/>
              <a:ea typeface="+mn-lt"/>
              <a:cs typeface="+mn-lt"/>
            </a:rPr>
            <a:t>Leads Générés</a:t>
          </a:r>
        </a:p>
      </xdr:txBody>
    </xdr:sp>
    <xdr:clientData/>
  </xdr:twoCellAnchor>
  <xdr:twoCellAnchor>
    <xdr:from>
      <xdr:col>11</xdr:col>
      <xdr:colOff>57150</xdr:colOff>
      <xdr:row>5</xdr:row>
      <xdr:rowOff>114300</xdr:rowOff>
    </xdr:from>
    <xdr:to>
      <xdr:col>12</xdr:col>
      <xdr:colOff>590550</xdr:colOff>
      <xdr:row>6</xdr:row>
      <xdr:rowOff>161925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9EC2E15E-6C48-4C9D-E906-5FE24389F2DC}"/>
            </a:ext>
            <a:ext uri="{147F2762-F138-4A5C-976F-8EAC2B608ADB}">
              <a16:predDERef xmlns:a16="http://schemas.microsoft.com/office/drawing/2014/main" pred="{C467D15F-78D7-4B39-8D35-DB081A283FED}"/>
            </a:ext>
          </a:extLst>
        </xdr:cNvPr>
        <xdr:cNvSpPr txBox="1"/>
      </xdr:nvSpPr>
      <xdr:spPr>
        <a:xfrm>
          <a:off x="8439150" y="1219200"/>
          <a:ext cx="12954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accent5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ROI Moyen</a:t>
          </a:r>
        </a:p>
      </xdr:txBody>
    </xdr:sp>
    <xdr:clientData/>
  </xdr:twoCellAnchor>
  <xdr:twoCellAnchor>
    <xdr:from>
      <xdr:col>12</xdr:col>
      <xdr:colOff>676275</xdr:colOff>
      <xdr:row>5</xdr:row>
      <xdr:rowOff>104775</xdr:rowOff>
    </xdr:from>
    <xdr:to>
      <xdr:col>14</xdr:col>
      <xdr:colOff>685800</xdr:colOff>
      <xdr:row>6</xdr:row>
      <xdr:rowOff>152400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8A74C9EF-17DC-4749-BB3B-CF886F146A06}"/>
            </a:ext>
            <a:ext uri="{147F2762-F138-4A5C-976F-8EAC2B608ADB}">
              <a16:predDERef xmlns:a16="http://schemas.microsoft.com/office/drawing/2014/main" pred="{9EC2E15E-6C48-4C9D-E906-5FE24389F2DC}"/>
            </a:ext>
          </a:extLst>
        </xdr:cNvPr>
        <xdr:cNvSpPr txBox="1"/>
      </xdr:nvSpPr>
      <xdr:spPr>
        <a:xfrm>
          <a:off x="9820275" y="1209675"/>
          <a:ext cx="1533525" cy="2381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chemeClr val="accent5">
                  <a:lumMod val="50000"/>
                </a:schemeClr>
              </a:solidFill>
              <a:latin typeface="+mn-lt"/>
              <a:ea typeface="+mn-lt"/>
              <a:cs typeface="+mn-lt"/>
            </a:rPr>
            <a:t>Taux de Conversion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55.792247800928" createdVersion="8" refreshedVersion="8" minRefreshableVersion="3" recordCount="106" xr:uid="{B6ACB0AF-04DA-9242-8815-F19519FE605F}">
  <cacheSource type="worksheet">
    <worksheetSource ref="A1:M1048576" sheet="DATA"/>
  </cacheSource>
  <cacheFields count="13">
    <cacheField name="ID Campagne" numFmtId="0">
      <sharedItems containsString="0" containsBlank="1" containsNumber="1" containsInteger="1" minValue="1" maxValue="105"/>
    </cacheField>
    <cacheField name="Réseau Social" numFmtId="0">
      <sharedItems containsBlank="1" count="4">
        <s v="Facebook"/>
        <s v="Twitter"/>
        <s v="Instagram"/>
        <m/>
      </sharedItems>
    </cacheField>
    <cacheField name="Date de Début" numFmtId="14">
      <sharedItems containsNonDate="0" containsDate="1" containsString="0" containsBlank="1" minDate="2021-01-04T22:57:25" maxDate="2024-01-24T00:00:00"/>
    </cacheField>
    <cacheField name="Date de Fin" numFmtId="14">
      <sharedItems containsNonDate="0" containsDate="1" containsString="0" containsBlank="1" minDate="2021-02-02T18:56:23" maxDate="2024-02-29T00:00:00"/>
    </cacheField>
    <cacheField name="Budget de la Campagne (€)" numFmtId="0">
      <sharedItems containsString="0" containsBlank="1" containsNumber="1" containsInteger="1" minValue="636" maxValue="9911"/>
    </cacheField>
    <cacheField name="Nombre de Vues" numFmtId="0">
      <sharedItems containsString="0" containsBlank="1" containsNumber="1" containsInteger="1" minValue="1851" maxValue="98691"/>
    </cacheField>
    <cacheField name="Nombre de Clics" numFmtId="0">
      <sharedItems containsString="0" containsBlank="1" containsNumber="1" containsInteger="1" minValue="100" maxValue="8392"/>
    </cacheField>
    <cacheField name="Taux de Conversion (%)" numFmtId="10">
      <sharedItems containsString="0" containsBlank="1" containsNumber="1" minValue="1.5E-3" maxValue="1" count="100">
        <n v="5.1999999999999998E-3"/>
        <n v="2.0899999999999998E-2"/>
        <n v="5.6800000000000003E-2"/>
        <n v="1.03E-2"/>
        <n v="3.2899999999999999E-2"/>
        <n v="4.58E-2"/>
        <n v="7.6999999999999999E-2"/>
        <n v="2.8199999999999999E-2"/>
        <n v="2.58E-2"/>
        <n v="3.8399999999999997E-2"/>
        <n v="0.1618"/>
        <n v="0.1008"/>
        <n v="0.18490000000000001"/>
        <n v="5.1299999999999998E-2"/>
        <n v="0.1421"/>
        <n v="2.8299999999999999E-2"/>
        <n v="2.5399999999999999E-2"/>
        <n v="3.8100000000000002E-2"/>
        <n v="6.2300000000000001E-2"/>
        <n v="5.6399999999999999E-2"/>
        <n v="2.1100000000000001E-2"/>
        <n v="0.17760000000000001"/>
        <n v="1.5E-3"/>
        <n v="2.1700000000000001E-2"/>
        <n v="5.1200000000000002E-2"/>
        <n v="3.09E-2"/>
        <n v="3.1399999999999997E-2"/>
        <n v="5.0700000000000002E-2"/>
        <n v="4.9099999999999998E-2"/>
        <n v="0.11169999999999999"/>
        <n v="0.1857"/>
        <n v="3.3099999999999997E-2"/>
        <n v="2.52E-2"/>
        <n v="0.05"/>
        <n v="3.3500000000000002E-2"/>
        <n v="5.3499999999999999E-2"/>
        <n v="9.4999999999999998E-3"/>
        <n v="0.11219999999999999"/>
        <n v="0.10299999999999999"/>
        <n v="0.13700000000000001"/>
        <n v="1.6799999999999999E-2"/>
        <n v="6.6E-3"/>
        <n v="0.1255"/>
        <n v="4.1200000000000001E-2"/>
        <n v="6.8999999999999999E-3"/>
        <n v="4.8300000000000003E-2"/>
        <n v="2.06E-2"/>
        <n v="1"/>
        <n v="0.56240000000000001"/>
        <n v="9.8000000000000004E-2"/>
        <n v="1.84E-2"/>
        <n v="1.37E-2"/>
        <n v="4.1399999999999999E-2"/>
        <n v="5.7500000000000002E-2"/>
        <n v="2.5700000000000001E-2"/>
        <n v="6.8099999999999994E-2"/>
        <n v="0.12330000000000001"/>
        <n v="4.2900000000000001E-2"/>
        <n v="0.1159"/>
        <n v="5.4100000000000002E-2"/>
        <n v="7.1900000000000006E-2"/>
        <n v="5.0500000000000003E-2"/>
        <n v="6.4399999999999999E-2"/>
        <n v="4.6800000000000001E-2"/>
        <n v="5.6000000000000001E-2"/>
        <n v="2.1600000000000001E-2"/>
        <n v="1.77E-2"/>
        <n v="1.44E-2"/>
        <n v="2.3E-3"/>
        <n v="6.8900000000000003E-2"/>
        <n v="0.26290000000000002"/>
        <n v="4.4999999999999997E-3"/>
        <n v="8.8000000000000005E-3"/>
        <n v="7.3800000000000004E-2"/>
        <n v="6.88E-2"/>
        <n v="0.19209999999999999"/>
        <n v="2.53E-2"/>
        <n v="1.7500000000000002E-2"/>
        <n v="7.5800000000000006E-2"/>
        <n v="3.9600000000000003E-2"/>
        <n v="0.1835"/>
        <n v="1.54E-2"/>
        <n v="2.4799999999999999E-2"/>
        <n v="8.3299999999999999E-2"/>
        <n v="3.61E-2"/>
        <n v="0.11700000000000001"/>
        <n v="0.28160000000000002"/>
        <n v="8.6599999999999996E-2"/>
        <n v="5.9700000000000003E-2"/>
        <n v="2.6100000000000002E-2"/>
        <n v="4.4699999999999997E-2"/>
        <n v="3.5999999999999997E-2"/>
        <n v="4.6699999999999998E-2"/>
        <n v="0.38690000000000002"/>
        <n v="0.15340000000000001"/>
        <n v="8.9700000000000002E-2"/>
        <n v="9.7799999999999998E-2"/>
        <n v="0.253"/>
        <n v="0.20319999999999999"/>
        <m/>
      </sharedItems>
    </cacheField>
    <cacheField name="Ventes Générées (€)" numFmtId="0">
      <sharedItems containsString="0" containsBlank="1" containsNumber="1" containsInteger="1" minValue="563" maxValue="46900"/>
    </cacheField>
    <cacheField name="ROI" numFmtId="0">
      <sharedItems containsString="0" containsBlank="1" containsNumber="1" minValue="-0.47530288909599255" maxValue="3.9409344305813643"/>
    </cacheField>
    <cacheField name="Segmentation du Public - Âge" numFmtId="0">
      <sharedItems containsBlank="1" count="6">
        <s v="18-24"/>
        <s v="25-34"/>
        <s v="55+"/>
        <s v="45-54"/>
        <s v="35-44"/>
        <m/>
      </sharedItems>
    </cacheField>
    <cacheField name="Segmentation du Public - Sexe" numFmtId="0">
      <sharedItems containsBlank="1" count="3">
        <s v="Homme"/>
        <s v="Femme"/>
        <m/>
      </sharedItems>
    </cacheField>
    <cacheField name="Centre Intérêt" numFmtId="0">
      <sharedItems containsBlank="1" count="6">
        <s v="Beauté"/>
        <s v="Santé"/>
        <s v="Lifestyle"/>
        <s v="Fitness"/>
        <s v="Mode"/>
        <m/>
      </sharedItems>
    </cacheField>
  </cacheFields>
  <extLst>
    <ext xmlns:x14="http://schemas.microsoft.com/office/spreadsheetml/2009/9/main" uri="{725AE2AE-9491-48be-B2B4-4EB974FC3084}">
      <x14:pivotCacheDefinition pivotCacheId="9022150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n v="1"/>
    <x v="0"/>
    <d v="2021-04-07T08:43:24"/>
    <d v="2021-12-10T08:30:39"/>
    <n v="1394"/>
    <n v="57620"/>
    <n v="297"/>
    <x v="0"/>
    <n v="3046"/>
    <n v="1.1850789096126255"/>
    <x v="0"/>
    <x v="0"/>
    <x v="0"/>
  </r>
  <r>
    <n v="2"/>
    <x v="1"/>
    <d v="2021-07-31T08:40:21"/>
    <d v="2021-08-07T08:40:21"/>
    <n v="5874"/>
    <n v="84725"/>
    <n v="1771"/>
    <x v="1"/>
    <n v="28067"/>
    <n v="3.7781750085120871"/>
    <x v="0"/>
    <x v="1"/>
    <x v="0"/>
  </r>
  <r>
    <n v="3"/>
    <x v="1"/>
    <d v="2021-03-01T16:41:39"/>
    <d v="2021-11-14T07:21:31"/>
    <n v="636"/>
    <n v="48993"/>
    <n v="2785"/>
    <x v="2"/>
    <n v="2412"/>
    <n v="2.7924528301886791"/>
    <x v="1"/>
    <x v="1"/>
    <x v="1"/>
  </r>
  <r>
    <n v="4"/>
    <x v="0"/>
    <d v="2021-10-17T08:20:19"/>
    <d v="2021-10-24T08:20:19"/>
    <n v="6773"/>
    <n v="68398"/>
    <n v="706"/>
    <x v="3"/>
    <n v="21632"/>
    <n v="2.1938579654510555"/>
    <x v="1"/>
    <x v="0"/>
    <x v="2"/>
  </r>
  <r>
    <n v="5"/>
    <x v="0"/>
    <d v="2021-03-30T11:22:49"/>
    <d v="2021-11-13T23:05:55"/>
    <n v="3919"/>
    <n v="67439"/>
    <n v="2220"/>
    <x v="4"/>
    <n v="4710"/>
    <n v="0.20183720336820618"/>
    <x v="1"/>
    <x v="1"/>
    <x v="1"/>
  </r>
  <r>
    <n v="6"/>
    <x v="0"/>
    <d v="2021-09-19T22:17:57"/>
    <d v="2021-09-26T22:17:57"/>
    <n v="668"/>
    <n v="96952"/>
    <n v="4442"/>
    <x v="5"/>
    <n v="802"/>
    <n v="0.20059880239520958"/>
    <x v="2"/>
    <x v="1"/>
    <x v="0"/>
  </r>
  <r>
    <n v="7"/>
    <x v="2"/>
    <d v="2021-01-05T08:02:44"/>
    <d v="2021-02-02T18:56:23"/>
    <n v="6504"/>
    <n v="16352"/>
    <n v="1259"/>
    <x v="6"/>
    <n v="4951"/>
    <n v="-0.23877613776137763"/>
    <x v="1"/>
    <x v="1"/>
    <x v="3"/>
  </r>
  <r>
    <n v="8"/>
    <x v="1"/>
    <d v="2021-02-27T01:37:10"/>
    <d v="2021-04-11T16:29:12"/>
    <n v="3352"/>
    <n v="65022"/>
    <n v="1831"/>
    <x v="7"/>
    <n v="14741"/>
    <n v="3.3976730310262528"/>
    <x v="2"/>
    <x v="1"/>
    <x v="0"/>
  </r>
  <r>
    <n v="9"/>
    <x v="0"/>
    <d v="2021-05-16T11:22:00"/>
    <d v="2021-12-16T12:39:40"/>
    <n v="4919"/>
    <n v="91616"/>
    <n v="2361"/>
    <x v="8"/>
    <n v="15765"/>
    <n v="2.2049196991258384"/>
    <x v="0"/>
    <x v="1"/>
    <x v="2"/>
  </r>
  <r>
    <n v="10"/>
    <x v="0"/>
    <d v="2021-02-01T06:27:06"/>
    <d v="2021-02-24T19:28:01"/>
    <n v="8539"/>
    <n v="90935"/>
    <n v="3495"/>
    <x v="9"/>
    <n v="31477"/>
    <n v="2.686263028457665"/>
    <x v="2"/>
    <x v="1"/>
    <x v="2"/>
  </r>
  <r>
    <n v="11"/>
    <x v="2"/>
    <d v="2021-05-13T08:31:34"/>
    <d v="2021-09-29T06:57:27"/>
    <n v="9200"/>
    <n v="15297"/>
    <n v="2475"/>
    <x v="10"/>
    <n v="5452"/>
    <n v="-0.40739130434782611"/>
    <x v="3"/>
    <x v="0"/>
    <x v="4"/>
  </r>
  <r>
    <n v="12"/>
    <x v="0"/>
    <d v="2021-06-19T17:51:42"/>
    <d v="2021-10-03T14:55:20"/>
    <n v="3686"/>
    <n v="6896"/>
    <n v="695"/>
    <x v="11"/>
    <n v="17930"/>
    <n v="3.8643516006511125"/>
    <x v="4"/>
    <x v="1"/>
    <x v="3"/>
  </r>
  <r>
    <n v="13"/>
    <x v="1"/>
    <d v="2021-04-18T08:44:01"/>
    <d v="2021-07-05T00:04:53"/>
    <n v="6418"/>
    <n v="13003"/>
    <n v="2404"/>
    <x v="12"/>
    <n v="27250"/>
    <n v="3.2458709878466814"/>
    <x v="0"/>
    <x v="0"/>
    <x v="1"/>
  </r>
  <r>
    <n v="14"/>
    <x v="2"/>
    <d v="2021-01-08T00:32:25"/>
    <d v="2021-02-05T23:14:21"/>
    <n v="5649"/>
    <n v="74478"/>
    <n v="3817"/>
    <x v="13"/>
    <n v="8222"/>
    <n v="0.4554788458134183"/>
    <x v="3"/>
    <x v="0"/>
    <x v="3"/>
  </r>
  <r>
    <n v="15"/>
    <x v="2"/>
    <d v="2021-03-14T12:15:04"/>
    <d v="2021-03-21T12:15:04"/>
    <n v="2277"/>
    <n v="24761"/>
    <n v="3519"/>
    <x v="14"/>
    <n v="3001"/>
    <n v="0.31796223100570925"/>
    <x v="4"/>
    <x v="0"/>
    <x v="4"/>
  </r>
  <r>
    <n v="16"/>
    <x v="2"/>
    <d v="2021-08-17T08:08:19"/>
    <d v="2021-08-24T08:08:19"/>
    <n v="3861"/>
    <n v="43439"/>
    <n v="1231"/>
    <x v="15"/>
    <n v="5117"/>
    <n v="0.32530432530432529"/>
    <x v="3"/>
    <x v="1"/>
    <x v="0"/>
  </r>
  <r>
    <n v="17"/>
    <x v="0"/>
    <d v="2021-08-12T10:33:23"/>
    <d v="2021-08-19T10:33:23"/>
    <n v="8838"/>
    <n v="82858"/>
    <n v="2103"/>
    <x v="16"/>
    <n v="16519"/>
    <n v="0.86908802896582937"/>
    <x v="4"/>
    <x v="1"/>
    <x v="2"/>
  </r>
  <r>
    <n v="18"/>
    <x v="0"/>
    <d v="2021-08-23T14:17:34"/>
    <d v="2021-08-30T14:17:34"/>
    <n v="5893"/>
    <n v="96804"/>
    <n v="3691"/>
    <x v="17"/>
    <n v="16862"/>
    <n v="1.8613609367045647"/>
    <x v="4"/>
    <x v="1"/>
    <x v="0"/>
  </r>
  <r>
    <n v="19"/>
    <x v="0"/>
    <d v="2021-05-25T03:32:16"/>
    <d v="2021-06-01T03:32:16"/>
    <n v="4817"/>
    <n v="53280"/>
    <n v="3321"/>
    <x v="18"/>
    <n v="11771"/>
    <n v="1.4436371185385095"/>
    <x v="1"/>
    <x v="0"/>
    <x v="0"/>
  </r>
  <r>
    <n v="20"/>
    <x v="2"/>
    <d v="2021-08-30T11:52:03"/>
    <d v="2021-09-06T11:52:03"/>
    <n v="5105"/>
    <n v="37589"/>
    <n v="2121"/>
    <x v="19"/>
    <n v="9242"/>
    <n v="0.8103819784524976"/>
    <x v="3"/>
    <x v="1"/>
    <x v="4"/>
  </r>
  <r>
    <n v="21"/>
    <x v="2"/>
    <d v="2021-07-20T14:50:25"/>
    <d v="2021-07-27T14:50:25"/>
    <n v="3062"/>
    <n v="85631"/>
    <n v="1807"/>
    <x v="20"/>
    <n v="9961"/>
    <n v="2.2531025473546702"/>
    <x v="3"/>
    <x v="1"/>
    <x v="1"/>
  </r>
  <r>
    <n v="22"/>
    <x v="1"/>
    <d v="2021-08-30T05:14:05"/>
    <d v="2021-12-19T12:41:55"/>
    <n v="6713"/>
    <n v="9472"/>
    <n v="1682"/>
    <x v="21"/>
    <n v="7570"/>
    <n v="0.12766274392968865"/>
    <x v="0"/>
    <x v="1"/>
    <x v="0"/>
  </r>
  <r>
    <n v="23"/>
    <x v="2"/>
    <d v="2021-12-15T04:44:03"/>
    <d v="2021-12-22T04:44:03"/>
    <n v="9600"/>
    <n v="67564"/>
    <n v="100"/>
    <x v="22"/>
    <n v="17420"/>
    <n v="0.81458333333333333"/>
    <x v="2"/>
    <x v="1"/>
    <x v="2"/>
  </r>
  <r>
    <n v="24"/>
    <x v="0"/>
    <d v="2021-04-04T14:05:27"/>
    <d v="2021-12-20T08:47:28"/>
    <n v="5152"/>
    <n v="36428"/>
    <n v="791"/>
    <x v="23"/>
    <n v="11069"/>
    <n v="1.1484860248447204"/>
    <x v="3"/>
    <x v="0"/>
    <x v="2"/>
  </r>
  <r>
    <n v="25"/>
    <x v="0"/>
    <d v="2021-07-13T14:40:01"/>
    <d v="2021-07-20T14:40:01"/>
    <n v="6735"/>
    <n v="63444"/>
    <n v="3246"/>
    <x v="24"/>
    <n v="17189"/>
    <n v="1.5521900519673348"/>
    <x v="3"/>
    <x v="1"/>
    <x v="1"/>
  </r>
  <r>
    <n v="26"/>
    <x v="2"/>
    <d v="2021-11-01T09:17:45"/>
    <d v="2021-12-23T08:51:11"/>
    <n v="923"/>
    <n v="68889"/>
    <n v="2647"/>
    <x v="9"/>
    <n v="3722"/>
    <n v="3.0325027085590466"/>
    <x v="0"/>
    <x v="0"/>
    <x v="1"/>
  </r>
  <r>
    <n v="27"/>
    <x v="1"/>
    <d v="2021-02-09T22:09:36"/>
    <d v="2021-11-06T08:43:11"/>
    <n v="7354"/>
    <n v="93503"/>
    <n v="2886"/>
    <x v="25"/>
    <n v="10284"/>
    <n v="0.39842262714169158"/>
    <x v="0"/>
    <x v="1"/>
    <x v="4"/>
  </r>
  <r>
    <n v="28"/>
    <x v="2"/>
    <d v="2021-08-04T23:54:50"/>
    <d v="2021-08-11T23:54:50"/>
    <n v="1467"/>
    <n v="88582"/>
    <n v="2783"/>
    <x v="26"/>
    <n v="4128"/>
    <n v="1.8139059304703475"/>
    <x v="1"/>
    <x v="0"/>
    <x v="3"/>
  </r>
  <r>
    <n v="29"/>
    <x v="2"/>
    <d v="2021-08-30T02:46:47"/>
    <d v="2021-12-02T04:50:43"/>
    <n v="4870"/>
    <n v="8734"/>
    <n v="443"/>
    <x v="27"/>
    <n v="15417"/>
    <n v="2.1657084188911706"/>
    <x v="2"/>
    <x v="0"/>
    <x v="2"/>
  </r>
  <r>
    <n v="30"/>
    <x v="2"/>
    <d v="2021-11-27T07:36:30"/>
    <d v="2021-12-04T07:36:30"/>
    <n v="9552"/>
    <n v="91265"/>
    <n v="4478"/>
    <x v="28"/>
    <n v="6772"/>
    <n v="-0.29103852596314905"/>
    <x v="2"/>
    <x v="1"/>
    <x v="0"/>
  </r>
  <r>
    <n v="31"/>
    <x v="0"/>
    <d v="2021-05-07T10:07:46"/>
    <d v="2021-05-31T09:21:59"/>
    <n v="6687"/>
    <n v="29436"/>
    <n v="3287"/>
    <x v="29"/>
    <n v="21625"/>
    <n v="2.233886645730522"/>
    <x v="1"/>
    <x v="1"/>
    <x v="4"/>
  </r>
  <r>
    <n v="32"/>
    <x v="0"/>
    <d v="2021-10-07T00:23:56"/>
    <d v="2021-10-22T23:28:34"/>
    <n v="5703"/>
    <n v="24905"/>
    <n v="4624"/>
    <x v="30"/>
    <n v="7227"/>
    <n v="0.26722777485533927"/>
    <x v="0"/>
    <x v="0"/>
    <x v="1"/>
  </r>
  <r>
    <n v="33"/>
    <x v="0"/>
    <d v="2021-04-30T14:04:48"/>
    <d v="2021-06-07T07:45:04"/>
    <n v="933"/>
    <n v="27981"/>
    <n v="927"/>
    <x v="31"/>
    <n v="739"/>
    <n v="-0.20793140407288319"/>
    <x v="0"/>
    <x v="0"/>
    <x v="0"/>
  </r>
  <r>
    <n v="34"/>
    <x v="2"/>
    <d v="2021-07-10T07:35:00"/>
    <d v="2021-07-17T07:35:00"/>
    <n v="6737"/>
    <n v="77473"/>
    <n v="1949"/>
    <x v="32"/>
    <n v="32135"/>
    <n v="3.7699272673296718"/>
    <x v="0"/>
    <x v="1"/>
    <x v="3"/>
  </r>
  <r>
    <n v="35"/>
    <x v="1"/>
    <d v="2021-03-03T12:13:57"/>
    <d v="2021-05-16T05:56:54"/>
    <n v="1929"/>
    <n v="46463"/>
    <n v="2321"/>
    <x v="33"/>
    <n v="9346"/>
    <n v="3.8449974079834113"/>
    <x v="3"/>
    <x v="0"/>
    <x v="1"/>
  </r>
  <r>
    <n v="36"/>
    <x v="2"/>
    <d v="2021-06-27T12:49:44"/>
    <d v="2021-07-02T18:12:33"/>
    <n v="3046"/>
    <n v="98691"/>
    <n v="3304"/>
    <x v="34"/>
    <n v="12603"/>
    <n v="3.1375574523965857"/>
    <x v="2"/>
    <x v="1"/>
    <x v="3"/>
  </r>
  <r>
    <n v="37"/>
    <x v="2"/>
    <d v="2021-11-07T14:14:39"/>
    <d v="2021-11-14T14:14:39"/>
    <n v="829"/>
    <n v="67589"/>
    <n v="3613"/>
    <x v="35"/>
    <n v="1550"/>
    <n v="0.86972255729794934"/>
    <x v="2"/>
    <x v="1"/>
    <x v="3"/>
  </r>
  <r>
    <n v="38"/>
    <x v="0"/>
    <d v="2021-04-17T00:31:37"/>
    <d v="2021-08-19T12:44:26"/>
    <n v="4112"/>
    <n v="20361"/>
    <n v="193"/>
    <x v="36"/>
    <n v="3863"/>
    <n v="-6.0554474708171206E-2"/>
    <x v="4"/>
    <x v="0"/>
    <x v="2"/>
  </r>
  <r>
    <n v="39"/>
    <x v="0"/>
    <d v="2021-01-07T14:33:30"/>
    <d v="2021-07-03T08:30:23"/>
    <n v="8901"/>
    <n v="22875"/>
    <n v="2567"/>
    <x v="37"/>
    <n v="31857"/>
    <n v="2.5790360633636671"/>
    <x v="4"/>
    <x v="0"/>
    <x v="2"/>
  </r>
  <r>
    <n v="40"/>
    <x v="2"/>
    <d v="2021-07-14T10:05:53"/>
    <d v="2021-07-21T10:05:53"/>
    <n v="7261"/>
    <n v="37661"/>
    <n v="3878"/>
    <x v="38"/>
    <n v="18012"/>
    <n v="1.4806500482027269"/>
    <x v="3"/>
    <x v="0"/>
    <x v="3"/>
  </r>
  <r>
    <n v="41"/>
    <x v="1"/>
    <d v="2021-10-02T21:57:59"/>
    <d v="2021-10-03T21:57:59"/>
    <n v="4468"/>
    <n v="3679"/>
    <n v="504"/>
    <x v="39"/>
    <n v="4687"/>
    <n v="4.9015219337511191E-2"/>
    <x v="3"/>
    <x v="1"/>
    <x v="2"/>
  </r>
  <r>
    <n v="42"/>
    <x v="0"/>
    <d v="2021-02-22T15:31:05"/>
    <d v="2021-05-15T10:14:59"/>
    <n v="8650"/>
    <n v="77723"/>
    <n v="1309"/>
    <x v="40"/>
    <n v="23599"/>
    <n v="1.7282080924855492"/>
    <x v="2"/>
    <x v="1"/>
    <x v="1"/>
  </r>
  <r>
    <n v="43"/>
    <x v="1"/>
    <d v="2021-08-22T18:20:22"/>
    <d v="2021-11-23T20:43:35"/>
    <n v="1540"/>
    <n v="71486"/>
    <n v="475"/>
    <x v="41"/>
    <n v="1008"/>
    <n v="-0.34545454545454546"/>
    <x v="4"/>
    <x v="1"/>
    <x v="3"/>
  </r>
  <r>
    <n v="44"/>
    <x v="1"/>
    <d v="2021-12-07T08:53:31"/>
    <d v="2021-12-27T18:36:30"/>
    <n v="6750"/>
    <n v="32222"/>
    <n v="4045"/>
    <x v="42"/>
    <n v="30995"/>
    <n v="3.5918518518518519"/>
    <x v="1"/>
    <x v="1"/>
    <x v="3"/>
  </r>
  <r>
    <n v="45"/>
    <x v="2"/>
    <d v="2021-11-24T13:46:58"/>
    <d v="2021-12-01T13:46:58"/>
    <n v="8856"/>
    <n v="69201"/>
    <n v="2850"/>
    <x v="43"/>
    <n v="14740"/>
    <n v="0.66440831074977413"/>
    <x v="0"/>
    <x v="1"/>
    <x v="4"/>
  </r>
  <r>
    <n v="46"/>
    <x v="2"/>
    <d v="2021-02-04T02:35:44"/>
    <d v="2021-05-26T13:39:26"/>
    <n v="9298"/>
    <n v="85977"/>
    <n v="597"/>
    <x v="44"/>
    <n v="32369"/>
    <n v="2.4812862981286297"/>
    <x v="2"/>
    <x v="0"/>
    <x v="4"/>
  </r>
  <r>
    <n v="47"/>
    <x v="2"/>
    <d v="2021-11-08T14:12:51"/>
    <d v="2021-11-15T14:12:51"/>
    <n v="8204"/>
    <n v="31857"/>
    <n v="1538"/>
    <x v="45"/>
    <n v="15609"/>
    <n v="0.90260848366650415"/>
    <x v="1"/>
    <x v="0"/>
    <x v="4"/>
  </r>
  <r>
    <n v="48"/>
    <x v="1"/>
    <d v="2021-08-24T08:45:00"/>
    <d v="2021-12-23T16:36:58"/>
    <n v="7272"/>
    <n v="40606"/>
    <n v="838"/>
    <x v="46"/>
    <n v="20654"/>
    <n v="1.8402090209020903"/>
    <x v="3"/>
    <x v="0"/>
    <x v="4"/>
  </r>
  <r>
    <n v="49"/>
    <x v="0"/>
    <d v="2021-02-24T18:09:24"/>
    <d v="2021-03-14T15:42:03"/>
    <n v="5811"/>
    <n v="1851"/>
    <n v="1851"/>
    <x v="47"/>
    <n v="17201"/>
    <n v="1.9600757184649802"/>
    <x v="0"/>
    <x v="0"/>
    <x v="0"/>
  </r>
  <r>
    <n v="50"/>
    <x v="0"/>
    <d v="2021-07-18T18:47:32"/>
    <d v="2021-10-17T12:37:26"/>
    <n v="9911"/>
    <n v="6028"/>
    <n v="3390"/>
    <x v="48"/>
    <n v="13199"/>
    <n v="0.33175259812329733"/>
    <x v="3"/>
    <x v="0"/>
    <x v="4"/>
  </r>
  <r>
    <n v="51"/>
    <x v="2"/>
    <d v="2021-01-24T23:24:52"/>
    <d v="2021-08-05T09:06:55"/>
    <n v="9644"/>
    <n v="21177"/>
    <n v="2075"/>
    <x v="49"/>
    <n v="46900"/>
    <n v="3.863127333056823"/>
    <x v="4"/>
    <x v="1"/>
    <x v="1"/>
  </r>
  <r>
    <n v="52"/>
    <x v="0"/>
    <d v="2021-10-13T22:06:55"/>
    <d v="2021-10-20T22:06:55"/>
    <n v="6511"/>
    <n v="90236"/>
    <n v="1662"/>
    <x v="50"/>
    <n v="25966"/>
    <n v="2.9880202733835048"/>
    <x v="1"/>
    <x v="0"/>
    <x v="0"/>
  </r>
  <r>
    <n v="53"/>
    <x v="1"/>
    <d v="2021-09-09T12:13:55"/>
    <d v="2021-09-16T12:13:55"/>
    <n v="3298"/>
    <n v="40920"/>
    <n v="560"/>
    <x v="51"/>
    <n v="15592"/>
    <n v="3.7277137659187387"/>
    <x v="0"/>
    <x v="1"/>
    <x v="1"/>
  </r>
  <r>
    <n v="54"/>
    <x v="1"/>
    <d v="2021-08-21T04:30:28"/>
    <d v="2021-08-28T04:30:28"/>
    <n v="8852"/>
    <n v="91238"/>
    <n v="3774"/>
    <x v="52"/>
    <n v="40070"/>
    <n v="3.5266606416629012"/>
    <x v="0"/>
    <x v="1"/>
    <x v="4"/>
  </r>
  <r>
    <n v="55"/>
    <x v="0"/>
    <d v="2021-06-13T15:02:00"/>
    <d v="2021-06-20T15:02:00"/>
    <n v="2695"/>
    <n v="56082"/>
    <n v="3223"/>
    <x v="53"/>
    <n v="8598"/>
    <n v="2.1903525046382191"/>
    <x v="3"/>
    <x v="0"/>
    <x v="3"/>
  </r>
  <r>
    <n v="56"/>
    <x v="1"/>
    <d v="2021-09-25T02:33:51"/>
    <d v="2021-10-23T15:39:00"/>
    <n v="5180"/>
    <n v="75305"/>
    <n v="1938"/>
    <x v="54"/>
    <n v="24078"/>
    <n v="3.6482625482625481"/>
    <x v="2"/>
    <x v="1"/>
    <x v="0"/>
  </r>
  <r>
    <n v="57"/>
    <x v="1"/>
    <d v="2021-04-22T06:08:35"/>
    <d v="2021-11-11T07:09:46"/>
    <n v="7099"/>
    <n v="23036"/>
    <n v="1568"/>
    <x v="55"/>
    <n v="6376"/>
    <n v="-0.10184533032821524"/>
    <x v="1"/>
    <x v="0"/>
    <x v="3"/>
  </r>
  <r>
    <n v="58"/>
    <x v="1"/>
    <d v="2021-05-16T04:35:35"/>
    <d v="2021-05-23T04:35:35"/>
    <n v="9803"/>
    <n v="39212"/>
    <n v="4836"/>
    <x v="56"/>
    <n v="13546"/>
    <n v="0.38182189125777821"/>
    <x v="0"/>
    <x v="1"/>
    <x v="1"/>
  </r>
  <r>
    <n v="59"/>
    <x v="2"/>
    <d v="2021-02-19T17:12:45"/>
    <d v="2021-05-24T00:46:45"/>
    <n v="3585"/>
    <n v="83032"/>
    <n v="3566"/>
    <x v="57"/>
    <n v="2522"/>
    <n v="-0.29651324965132497"/>
    <x v="0"/>
    <x v="0"/>
    <x v="1"/>
  </r>
  <r>
    <n v="60"/>
    <x v="2"/>
    <d v="2021-01-04T22:57:25"/>
    <d v="2021-08-22T17:24:00"/>
    <n v="6213"/>
    <n v="35735"/>
    <n v="4143"/>
    <x v="58"/>
    <n v="12202"/>
    <n v="0.9639465636568485"/>
    <x v="4"/>
    <x v="1"/>
    <x v="0"/>
  </r>
  <r>
    <n v="61"/>
    <x v="0"/>
    <d v="2021-09-24T23:11:45"/>
    <d v="2021-10-01T23:11:45"/>
    <n v="5740"/>
    <n v="83570"/>
    <n v="4523"/>
    <x v="59"/>
    <n v="12909"/>
    <n v="1.2489547038327526"/>
    <x v="1"/>
    <x v="1"/>
    <x v="1"/>
  </r>
  <r>
    <n v="62"/>
    <x v="0"/>
    <d v="2021-03-05T02:59:53"/>
    <d v="2021-07-31T16:38:59"/>
    <n v="1232"/>
    <n v="2384"/>
    <n v="2384"/>
    <x v="47"/>
    <n v="2120"/>
    <n v="0.72077922077922074"/>
    <x v="1"/>
    <x v="0"/>
    <x v="0"/>
  </r>
  <r>
    <n v="63"/>
    <x v="0"/>
    <d v="2021-03-18T10:30:24"/>
    <d v="2021-11-09T00:35:43"/>
    <n v="5528"/>
    <n v="80403"/>
    <n v="3087"/>
    <x v="9"/>
    <n v="23379"/>
    <n v="3.2291968162083937"/>
    <x v="0"/>
    <x v="1"/>
    <x v="1"/>
  </r>
  <r>
    <n v="64"/>
    <x v="1"/>
    <d v="2021-02-03T20:08:37"/>
    <d v="2021-10-14T06:55:26"/>
    <n v="8973"/>
    <n v="66599"/>
    <n v="4790"/>
    <x v="60"/>
    <n v="18891"/>
    <n v="1.1053159478435306"/>
    <x v="1"/>
    <x v="0"/>
    <x v="3"/>
  </r>
  <r>
    <n v="65"/>
    <x v="1"/>
    <d v="2021-06-16T14:13:20"/>
    <d v="2021-10-09T06:57:53"/>
    <n v="8094"/>
    <n v="70524"/>
    <n v="3563"/>
    <x v="61"/>
    <n v="14279"/>
    <n v="0.76414628119594763"/>
    <x v="1"/>
    <x v="0"/>
    <x v="2"/>
  </r>
  <r>
    <n v="66"/>
    <x v="2"/>
    <d v="2021-04-10T18:55:46"/>
    <d v="2021-04-17T18:55:46"/>
    <n v="5066"/>
    <n v="52654"/>
    <n v="3392"/>
    <x v="62"/>
    <n v="14904"/>
    <n v="1.9419660481642322"/>
    <x v="0"/>
    <x v="1"/>
    <x v="4"/>
  </r>
  <r>
    <n v="67"/>
    <x v="2"/>
    <d v="2021-04-27T17:45:06"/>
    <d v="2021-06-08T19:46:56"/>
    <n v="7944"/>
    <n v="63729"/>
    <n v="2981"/>
    <x v="63"/>
    <n v="9009"/>
    <n v="0.13406344410876134"/>
    <x v="0"/>
    <x v="1"/>
    <x v="4"/>
  </r>
  <r>
    <n v="68"/>
    <x v="0"/>
    <d v="2021-06-08T17:57:23"/>
    <d v="2021-06-15T17:57:23"/>
    <n v="3896"/>
    <n v="53668"/>
    <n v="3008"/>
    <x v="64"/>
    <n v="16012"/>
    <n v="3.1098562628336754"/>
    <x v="3"/>
    <x v="1"/>
    <x v="2"/>
  </r>
  <r>
    <n v="69"/>
    <x v="0"/>
    <d v="2021-01-10T20:55:41"/>
    <d v="2021-02-21T01:29:20"/>
    <n v="5847"/>
    <n v="20055"/>
    <n v="434"/>
    <x v="65"/>
    <n v="4885"/>
    <n v="-0.16452881819736617"/>
    <x v="3"/>
    <x v="0"/>
    <x v="2"/>
  </r>
  <r>
    <n v="70"/>
    <x v="1"/>
    <d v="2021-06-13T04:47:35"/>
    <d v="2021-10-18T15:24:05"/>
    <n v="7534"/>
    <n v="47499"/>
    <n v="841"/>
    <x v="66"/>
    <n v="37225"/>
    <n v="3.9409344305813643"/>
    <x v="3"/>
    <x v="0"/>
    <x v="0"/>
  </r>
  <r>
    <n v="71"/>
    <x v="2"/>
    <d v="2021-09-01T00:18:17"/>
    <d v="2021-09-08T00:18:17"/>
    <n v="1095"/>
    <n v="92980"/>
    <n v="1343"/>
    <x v="67"/>
    <n v="4352"/>
    <n v="2.9744292237442922"/>
    <x v="3"/>
    <x v="1"/>
    <x v="1"/>
  </r>
  <r>
    <n v="72"/>
    <x v="2"/>
    <d v="2021-01-07T05:28:32"/>
    <d v="2021-07-29T07:49:30"/>
    <n v="1147"/>
    <n v="88314"/>
    <n v="200"/>
    <x v="68"/>
    <n v="1599"/>
    <n v="0.39407149084568438"/>
    <x v="1"/>
    <x v="0"/>
    <x v="3"/>
  </r>
  <r>
    <n v="73"/>
    <x v="1"/>
    <d v="2021-03-19T09:31:30"/>
    <d v="2021-05-31T08:02:51"/>
    <n v="1073"/>
    <n v="37209"/>
    <n v="2563"/>
    <x v="69"/>
    <n v="563"/>
    <n v="-0.47530288909599255"/>
    <x v="4"/>
    <x v="1"/>
    <x v="4"/>
  </r>
  <r>
    <n v="74"/>
    <x v="0"/>
    <d v="2021-05-30T13:57:14"/>
    <d v="2021-06-06T13:57:14"/>
    <n v="7297"/>
    <n v="9010"/>
    <n v="2369"/>
    <x v="70"/>
    <n v="30425"/>
    <n v="3.1695217212553106"/>
    <x v="0"/>
    <x v="0"/>
    <x v="2"/>
  </r>
  <r>
    <n v="75"/>
    <x v="2"/>
    <d v="2021-12-18T20:01:27"/>
    <d v="2021-12-25T20:01:27"/>
    <n v="6137"/>
    <n v="60618"/>
    <n v="274"/>
    <x v="71"/>
    <n v="22589"/>
    <n v="2.6807886589538863"/>
    <x v="0"/>
    <x v="1"/>
    <x v="2"/>
  </r>
  <r>
    <n v="76"/>
    <x v="2"/>
    <d v="2021-03-18T13:32:50"/>
    <d v="2021-03-25T13:32:50"/>
    <n v="8948"/>
    <n v="80073"/>
    <n v="705"/>
    <x v="72"/>
    <n v="33828"/>
    <n v="2.7805096110862761"/>
    <x v="2"/>
    <x v="0"/>
    <x v="2"/>
  </r>
  <r>
    <n v="77"/>
    <x v="2"/>
    <d v="2021-09-30T13:40:50"/>
    <d v="2021-10-07T13:40:50"/>
    <n v="5759"/>
    <n v="52115"/>
    <n v="3845"/>
    <x v="73"/>
    <n v="22867"/>
    <n v="2.9706546275395036"/>
    <x v="4"/>
    <x v="1"/>
    <x v="1"/>
  </r>
  <r>
    <n v="78"/>
    <x v="2"/>
    <d v="2021-01-10T23:11:31"/>
    <d v="2021-07-27T10:33:02"/>
    <n v="9720"/>
    <n v="72299"/>
    <n v="4976"/>
    <x v="74"/>
    <n v="8098"/>
    <n v="-0.1668724279835391"/>
    <x v="4"/>
    <x v="1"/>
    <x v="3"/>
  </r>
  <r>
    <n v="79"/>
    <x v="2"/>
    <d v="2021-03-23T21:32:43"/>
    <d v="2021-10-20T12:38:27"/>
    <n v="7067"/>
    <n v="20340"/>
    <n v="3908"/>
    <x v="75"/>
    <n v="14933"/>
    <n v="1.1130607046837413"/>
    <x v="0"/>
    <x v="0"/>
    <x v="2"/>
  </r>
  <r>
    <n v="80"/>
    <x v="1"/>
    <d v="2021-09-05T03:58:10"/>
    <d v="2021-09-12T03:58:10"/>
    <n v="4944"/>
    <n v="73932"/>
    <n v="1869"/>
    <x v="76"/>
    <n v="5049"/>
    <n v="2.1237864077669904E-2"/>
    <x v="4"/>
    <x v="0"/>
    <x v="3"/>
  </r>
  <r>
    <n v="81"/>
    <x v="1"/>
    <d v="2021-07-23T21:13:07"/>
    <d v="2021-10-12T17:15:00"/>
    <n v="3489"/>
    <n v="54121"/>
    <n v="948"/>
    <x v="77"/>
    <n v="15295"/>
    <n v="3.3837775867010604"/>
    <x v="2"/>
    <x v="1"/>
    <x v="4"/>
  </r>
  <r>
    <n v="82"/>
    <x v="1"/>
    <d v="2021-02-27T11:42:42"/>
    <d v="2021-05-13T06:02:54"/>
    <n v="1086"/>
    <n v="15705"/>
    <n v="1190"/>
    <x v="78"/>
    <n v="3589"/>
    <n v="2.3047882136279925"/>
    <x v="1"/>
    <x v="0"/>
    <x v="0"/>
  </r>
  <r>
    <n v="83"/>
    <x v="0"/>
    <d v="2021-01-10T11:16:57"/>
    <d v="2021-12-19T16:47:54"/>
    <n v="5602"/>
    <n v="57448"/>
    <n v="2273"/>
    <x v="79"/>
    <n v="11142"/>
    <n v="0.98893252409853627"/>
    <x v="3"/>
    <x v="1"/>
    <x v="0"/>
  </r>
  <r>
    <n v="84"/>
    <x v="2"/>
    <d v="2021-10-08T01:37:05"/>
    <d v="2021-10-15T01:37:05"/>
    <n v="8101"/>
    <n v="87823"/>
    <n v="1262"/>
    <x v="67"/>
    <n v="6367"/>
    <n v="-0.21404764843846438"/>
    <x v="2"/>
    <x v="1"/>
    <x v="4"/>
  </r>
  <r>
    <n v="85"/>
    <x v="1"/>
    <d v="2021-08-01T19:30:30"/>
    <d v="2021-10-29T16:32:43"/>
    <n v="1239"/>
    <n v="26274"/>
    <n v="4820"/>
    <x v="80"/>
    <n v="2353"/>
    <n v="0.89911218724778041"/>
    <x v="3"/>
    <x v="0"/>
    <x v="0"/>
  </r>
  <r>
    <n v="86"/>
    <x v="2"/>
    <d v="2021-03-18T18:18:16"/>
    <d v="2021-06-16T10:10:19"/>
    <n v="5382"/>
    <n v="83212"/>
    <n v="1279"/>
    <x v="81"/>
    <n v="10566"/>
    <n v="0.96321070234113715"/>
    <x v="0"/>
    <x v="1"/>
    <x v="2"/>
  </r>
  <r>
    <n v="87"/>
    <x v="2"/>
    <d v="2021-11-15T08:57:38"/>
    <d v="2021-12-04T22:09:55"/>
    <n v="5910"/>
    <n v="32075"/>
    <n v="796"/>
    <x v="82"/>
    <n v="22358"/>
    <n v="2.7830795262267345"/>
    <x v="1"/>
    <x v="0"/>
    <x v="1"/>
  </r>
  <r>
    <n v="88"/>
    <x v="2"/>
    <d v="2021-11-22T13:25:36"/>
    <d v="2021-11-29T13:25:36"/>
    <n v="937"/>
    <n v="54251"/>
    <n v="4517"/>
    <x v="83"/>
    <n v="3156"/>
    <n v="2.3681963713980791"/>
    <x v="2"/>
    <x v="1"/>
    <x v="0"/>
  </r>
  <r>
    <n v="89"/>
    <x v="2"/>
    <d v="2021-09-28T20:27:34"/>
    <d v="2021-10-05T20:27:34"/>
    <n v="4398"/>
    <n v="71882"/>
    <n v="2596"/>
    <x v="84"/>
    <n v="19757"/>
    <n v="3.4922692132787629"/>
    <x v="4"/>
    <x v="0"/>
    <x v="4"/>
  </r>
  <r>
    <n v="90"/>
    <x v="0"/>
    <d v="2021-12-10T21:05:42"/>
    <d v="2021-12-17T21:05:42"/>
    <n v="2347"/>
    <n v="24417"/>
    <n v="2857"/>
    <x v="85"/>
    <n v="6160"/>
    <n v="1.6246271836386876"/>
    <x v="1"/>
    <x v="1"/>
    <x v="1"/>
  </r>
  <r>
    <n v="91"/>
    <x v="1"/>
    <d v="2021-12-24T16:51:58"/>
    <d v="2021-12-31T16:51:58"/>
    <n v="1520"/>
    <n v="97700"/>
    <n v="4028"/>
    <x v="43"/>
    <n v="1578"/>
    <n v="3.8157894736842106E-2"/>
    <x v="2"/>
    <x v="0"/>
    <x v="4"/>
  </r>
  <r>
    <n v="92"/>
    <x v="1"/>
    <d v="2021-10-23T14:25:55"/>
    <d v="2021-10-30T14:25:55"/>
    <n v="7430"/>
    <n v="14729"/>
    <n v="4147"/>
    <x v="86"/>
    <n v="27562"/>
    <n v="2.7095558546433378"/>
    <x v="1"/>
    <x v="1"/>
    <x v="2"/>
  </r>
  <r>
    <n v="93"/>
    <x v="0"/>
    <d v="2021-02-13T15:26:52"/>
    <d v="2021-02-20T15:26:52"/>
    <n v="1441"/>
    <n v="24836"/>
    <n v="2151"/>
    <x v="87"/>
    <n v="5653"/>
    <n v="2.9229701596113808"/>
    <x v="0"/>
    <x v="0"/>
    <x v="4"/>
  </r>
  <r>
    <n v="94"/>
    <x v="2"/>
    <d v="2021-05-11T06:29:33"/>
    <d v="2021-08-22T09:55:42"/>
    <n v="9141"/>
    <n v="57132"/>
    <n v="3410"/>
    <x v="88"/>
    <n v="27658"/>
    <n v="2.0257083470079862"/>
    <x v="4"/>
    <x v="0"/>
    <x v="2"/>
  </r>
  <r>
    <n v="95"/>
    <x v="2"/>
    <d v="2021-10-17T03:40:08"/>
    <d v="2021-10-23T08:31:57"/>
    <n v="6110"/>
    <n v="70658"/>
    <n v="1847"/>
    <x v="89"/>
    <n v="24252"/>
    <n v="2.9692307692307693"/>
    <x v="3"/>
    <x v="1"/>
    <x v="0"/>
  </r>
  <r>
    <n v="96"/>
    <x v="0"/>
    <d v="2021-12-20T20:35:14"/>
    <d v="2021-12-27T20:35:14"/>
    <n v="9508"/>
    <n v="67272"/>
    <n v="3004"/>
    <x v="90"/>
    <n v="25881"/>
    <n v="1.7220235591081194"/>
    <x v="3"/>
    <x v="0"/>
    <x v="1"/>
  </r>
  <r>
    <n v="97"/>
    <x v="0"/>
    <d v="2021-01-31T10:28:46"/>
    <d v="2021-02-10T17:07:46"/>
    <n v="2607"/>
    <n v="27872"/>
    <n v="1002"/>
    <x v="91"/>
    <n v="7435"/>
    <n v="1.8519370924434215"/>
    <x v="3"/>
    <x v="1"/>
    <x v="3"/>
  </r>
  <r>
    <n v="98"/>
    <x v="0"/>
    <d v="2021-12-26T05:28:11"/>
    <d v="2022-01-02T05:28:11"/>
    <n v="4759"/>
    <n v="84891"/>
    <n v="3968"/>
    <x v="92"/>
    <n v="11535"/>
    <n v="1.423828535406598"/>
    <x v="2"/>
    <x v="1"/>
    <x v="1"/>
  </r>
  <r>
    <n v="99"/>
    <x v="1"/>
    <d v="2021-06-28T23:38:24"/>
    <d v="2021-11-23T09:06:48"/>
    <n v="1445"/>
    <n v="12465"/>
    <n v="4823"/>
    <x v="93"/>
    <n v="887"/>
    <n v="-0.38615916955017299"/>
    <x v="1"/>
    <x v="0"/>
    <x v="3"/>
  </r>
  <r>
    <n v="100"/>
    <x v="2"/>
    <d v="2021-10-31T13:34:00"/>
    <d v="2021-11-07T13:34:00"/>
    <n v="8893"/>
    <n v="80285"/>
    <n v="704"/>
    <x v="72"/>
    <n v="8764"/>
    <n v="-1.4505791071629371E-2"/>
    <x v="4"/>
    <x v="0"/>
    <x v="0"/>
  </r>
  <r>
    <n v="101"/>
    <x v="2"/>
    <d v="2024-01-05T00:00:00"/>
    <d v="2024-02-10T00:00:00"/>
    <n v="3657"/>
    <n v="28047"/>
    <n v="4302"/>
    <x v="94"/>
    <n v="2345"/>
    <n v="-0.35876401421930543"/>
    <x v="1"/>
    <x v="1"/>
    <x v="1"/>
  </r>
  <r>
    <n v="102"/>
    <x v="2"/>
    <d v="2024-01-23T00:00:00"/>
    <d v="2024-02-28T00:00:00"/>
    <n v="6415"/>
    <n v="36105"/>
    <n v="3237"/>
    <x v="95"/>
    <n v="21579"/>
    <n v="2.3638347622759159"/>
    <x v="4"/>
    <x v="0"/>
    <x v="2"/>
  </r>
  <r>
    <n v="103"/>
    <x v="0"/>
    <d v="2024-01-07T00:00:00"/>
    <d v="2024-02-03T00:00:00"/>
    <n v="3193"/>
    <n v="85766"/>
    <n v="8392"/>
    <x v="96"/>
    <n v="6113"/>
    <n v="0.91450046977763855"/>
    <x v="4"/>
    <x v="1"/>
    <x v="1"/>
  </r>
  <r>
    <n v="104"/>
    <x v="0"/>
    <d v="2024-01-13T00:00:00"/>
    <d v="2024-02-12T00:00:00"/>
    <n v="4127"/>
    <n v="25707"/>
    <n v="6504"/>
    <x v="97"/>
    <n v="11508"/>
    <n v="1.7884661982069299"/>
    <x v="1"/>
    <x v="0"/>
    <x v="2"/>
  </r>
  <r>
    <n v="105"/>
    <x v="1"/>
    <d v="2024-01-15T00:00:00"/>
    <d v="2024-02-06T00:00:00"/>
    <n v="5950"/>
    <n v="31976"/>
    <n v="6496"/>
    <x v="98"/>
    <n v="27275"/>
    <n v="3.5840336134453783"/>
    <x v="0"/>
    <x v="1"/>
    <x v="0"/>
  </r>
  <r>
    <m/>
    <x v="3"/>
    <m/>
    <m/>
    <m/>
    <m/>
    <m/>
    <x v="99"/>
    <m/>
    <m/>
    <x v="5"/>
    <x v="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5B9FC-A971-CB46-B380-17C474831A95}" name="Tableau croisé dynamique3" cacheId="6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exes &amp; Âges">
  <location ref="A39:E52" firstHeaderRow="0" firstDataRow="1" firstDataCol="1"/>
  <pivotFields count="13">
    <pivotField dataField="1"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axis="axisRow" showAll="0">
      <items count="7">
        <item x="0"/>
        <item x="1"/>
        <item x="4"/>
        <item x="3"/>
        <item x="2"/>
        <item h="1" x="5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7">
        <item x="0"/>
        <item x="3"/>
        <item x="2"/>
        <item x="4"/>
        <item x="1"/>
        <item h="1" x="5"/>
        <item t="default"/>
      </items>
    </pivotField>
  </pivotFields>
  <rowFields count="2">
    <field x="11"/>
    <field x="10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mpagnes " fld="0" baseField="0" baseItem="0"/>
    <dataField name="Nombre de Vues " fld="5" baseField="0" baseItem="0" numFmtId="1"/>
    <dataField name=" Ventes Générées (€)" fld="8" baseField="0" baseItem="0" numFmtId="166"/>
    <dataField name="Moyenne de ROI" fld="9" subtotal="average" baseField="0" baseItem="0" numFmtId="9"/>
  </dataFields>
  <formats count="11">
    <format dxfId="11">
      <pivotArea collapsedLevelsAreSubtotals="1" fieldPosition="0">
        <references count="2">
          <reference field="4294967294" count="1" selected="0">
            <x v="2"/>
          </reference>
          <reference field="11" count="1">
            <x v="0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2"/>
          </reference>
          <reference field="10" count="5">
            <x v="0"/>
            <x v="1"/>
            <x v="2"/>
            <x v="3"/>
            <x v="4"/>
          </reference>
          <reference field="11" count="1" selected="0">
            <x v="0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2"/>
          </reference>
          <reference field="11" count="1">
            <x v="1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2"/>
          </reference>
          <reference field="10" count="5">
            <x v="0"/>
            <x v="1"/>
            <x v="2"/>
            <x v="3"/>
            <x v="4"/>
          </reference>
          <reference field="11" count="1" selected="0"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field="11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">
      <pivotArea field="11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79537-B1F3-394B-9714-1AF9A35B9DFE}" name="Tableau croisé dynamique12" cacheId="6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4" rowHeaderCaption="Réseau Social">
  <location ref="A17:D24" firstHeaderRow="1" firstDataRow="2" firstDataCol="1"/>
  <pivotFields count="13"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>
      <items count="101">
        <item x="22"/>
        <item x="68"/>
        <item x="71"/>
        <item x="0"/>
        <item x="41"/>
        <item x="44"/>
        <item x="72"/>
        <item x="36"/>
        <item x="3"/>
        <item x="51"/>
        <item x="67"/>
        <item x="81"/>
        <item x="40"/>
        <item x="77"/>
        <item x="66"/>
        <item x="50"/>
        <item x="46"/>
        <item x="1"/>
        <item x="20"/>
        <item x="65"/>
        <item x="23"/>
        <item x="82"/>
        <item x="32"/>
        <item x="76"/>
        <item x="16"/>
        <item x="54"/>
        <item x="8"/>
        <item x="89"/>
        <item x="7"/>
        <item x="15"/>
        <item x="25"/>
        <item x="26"/>
        <item x="4"/>
        <item x="31"/>
        <item x="34"/>
        <item x="91"/>
        <item x="84"/>
        <item x="17"/>
        <item x="9"/>
        <item x="79"/>
        <item x="43"/>
        <item x="52"/>
        <item x="57"/>
        <item x="90"/>
        <item x="5"/>
        <item x="92"/>
        <item x="63"/>
        <item x="45"/>
        <item x="28"/>
        <item x="33"/>
        <item x="61"/>
        <item x="27"/>
        <item x="24"/>
        <item x="13"/>
        <item x="35"/>
        <item x="59"/>
        <item x="64"/>
        <item x="19"/>
        <item x="2"/>
        <item x="53"/>
        <item x="88"/>
        <item x="18"/>
        <item x="62"/>
        <item x="55"/>
        <item x="74"/>
        <item x="69"/>
        <item x="60"/>
        <item x="73"/>
        <item x="78"/>
        <item x="6"/>
        <item x="83"/>
        <item x="87"/>
        <item x="95"/>
        <item x="96"/>
        <item x="49"/>
        <item x="11"/>
        <item x="38"/>
        <item x="29"/>
        <item x="37"/>
        <item x="58"/>
        <item x="85"/>
        <item x="56"/>
        <item x="42"/>
        <item x="39"/>
        <item x="14"/>
        <item x="94"/>
        <item x="10"/>
        <item x="21"/>
        <item x="80"/>
        <item x="12"/>
        <item x="30"/>
        <item x="75"/>
        <item x="98"/>
        <item x="97"/>
        <item x="70"/>
        <item x="86"/>
        <item x="93"/>
        <item x="48"/>
        <item x="47"/>
        <item x="99"/>
        <item t="default"/>
      </items>
    </pivotField>
    <pivotField showAll="0"/>
    <pivotField showAll="0"/>
    <pivotField axis="axisRow" showAll="0">
      <items count="7">
        <item x="0"/>
        <item x="1"/>
        <item x="4"/>
        <item x="3"/>
        <item x="2"/>
        <item h="1" x="5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>
      <items count="7">
        <item x="0"/>
        <item x="3"/>
        <item x="2"/>
        <item x="4"/>
        <item x="1"/>
        <item h="1" x="5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Moyenne de Taux de Conversion (%)" fld="7" subtotal="average" baseField="0" baseItem="0"/>
  </dataFields>
  <formats count="2">
    <format dxfId="9">
      <pivotArea outline="0" collapsedLevelsAreSubtotals="1" fieldPosition="0"/>
    </format>
    <format dxfId="10">
      <pivotArea dataOnly="0" labelOnly="1" outline="0" axis="axisValues" fieldPosition="0"/>
    </format>
  </formats>
  <chartFormats count="4">
    <chartFormat chart="13" format="7" series="1">
      <pivotArea type="data" outline="0" fieldPosition="0">
        <references count="1">
          <reference field="11" count="1" selected="0">
            <x v="0"/>
          </reference>
        </references>
      </pivotArea>
    </chartFormat>
    <chartFormat chart="13" format="8" series="1">
      <pivotArea type="data" outline="0" fieldPosition="0">
        <references count="1">
          <reference field="11" count="1" selected="0">
            <x v="1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Comparaison des performances par réseau social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07D3D-FDF7-FB4E-9E35-12BBE7889422}" name="Tableau croisé dynamique4" cacheId="6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A4" firstHeaderRow="1" firstDataRow="1" firstDataCol="0"/>
  <pivotFields count="13">
    <pivotField dataField="1"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x="0"/>
        <item x="3"/>
        <item x="2"/>
        <item x="4"/>
        <item x="1"/>
        <item h="1" x="5"/>
        <item t="default"/>
      </items>
    </pivotField>
  </pivotFields>
  <rowItems count="1">
    <i/>
  </rowItems>
  <colItems count="1">
    <i/>
  </colItems>
  <dataFields count="1">
    <dataField name="Somme de ID Campagne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C5CA7-EB13-E34A-8DE3-246CE0F78ED6}" name="Tableau croisé dynamique9" cacheId="6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 rowHeaderCaption="Réseau Social">
  <location ref="A9:C13" firstHeaderRow="0" firstDataRow="1" firstDataCol="1"/>
  <pivotFields count="13"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x="0"/>
        <item x="3"/>
        <item x="2"/>
        <item x="4"/>
        <item x="1"/>
        <item h="1" x="5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Ventes Générées (€)" fld="8" baseField="0" baseItem="0"/>
    <dataField name="Moyenne de ROI" fld="9" subtotal="average" baseField="0" baseItem="0"/>
  </dataFields>
  <formats count="2">
    <format dxfId="7">
      <pivotArea outline="0" collapsedLevelsAreSubtotals="1" fieldPosition="0"/>
    </format>
    <format dxfId="8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</formats>
  <chartFormats count="5"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Comparaison des performances par réseau social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F254E-C280-0B42-8561-B07FEBA5865C}" name="Tableau croisé dynamique8" cacheId="6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C6:C7" firstHeaderRow="1" firstDataRow="1" firstDataCol="0"/>
  <pivotFields count="13"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x="0"/>
        <item x="3"/>
        <item x="2"/>
        <item x="4"/>
        <item x="1"/>
        <item h="1" x="5"/>
        <item t="default"/>
      </items>
    </pivotField>
  </pivotFields>
  <rowItems count="1">
    <i/>
  </rowItems>
  <colItems count="1">
    <i/>
  </colItems>
  <dataFields count="1">
    <dataField name="Moyenne de Taux de Conversion (%)" fld="7" subtotal="average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E01A4-96F7-A442-8E53-5A1CAAB4E4E3}" name="Tableau croisé dynamique6" cacheId="6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E3:E4" firstHeaderRow="1" firstDataRow="1" firstDataCol="0"/>
  <pivotFields count="13"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x="0"/>
        <item x="3"/>
        <item x="2"/>
        <item x="4"/>
        <item x="1"/>
        <item h="1" x="5"/>
        <item t="default"/>
      </items>
    </pivotField>
  </pivotFields>
  <rowItems count="1">
    <i/>
  </rowItems>
  <colItems count="1">
    <i/>
  </colItems>
  <dataFields count="1">
    <dataField name="Somme de Ventes Générées (€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34B03-0484-684E-AA46-978E2F123BCF}" name="Tableau croisé dynamique10" cacheId="6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5" rowHeaderCaption="Réseau Social">
  <location ref="E9:H16" firstHeaderRow="1" firstDataRow="2" firstDataCol="1"/>
  <pivotFields count="13"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0"/>
        <item x="1"/>
        <item x="4"/>
        <item x="3"/>
        <item x="2"/>
        <item h="1" x="5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>
      <items count="7">
        <item x="0"/>
        <item x="3"/>
        <item x="2"/>
        <item x="4"/>
        <item x="1"/>
        <item h="1" x="5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Somme de Ventes Générées (€)" fld="8" baseField="0" baseItem="0" numFmtId="166"/>
  </dataFields>
  <formats count="1">
    <format dxfId="5">
      <pivotArea outline="0" collapsedLevelsAreSubtotals="1" fieldPosition="0"/>
    </format>
  </formats>
  <chartFormats count="2"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Comparaison des performances par réseau social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409A1-31BA-3A4D-864B-747E864A4CD6}" name="Tableau croisé dynamique7" cacheId="6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6:A7" firstHeaderRow="1" firstDataRow="1" firstDataCol="0"/>
  <pivotFields count="13"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x="0"/>
        <item x="3"/>
        <item x="2"/>
        <item x="4"/>
        <item x="1"/>
        <item h="1" x="5"/>
        <item t="default"/>
      </items>
    </pivotField>
  </pivotFields>
  <rowItems count="1">
    <i/>
  </rowItems>
  <colItems count="1">
    <i/>
  </colItems>
  <dataFields count="1">
    <dataField name="Moyenne de ROI" fld="9" subtotal="average" baseField="0" baseItem="0" numFmtId="9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26CF3-4BB3-E948-9130-48E1559A8AAA}" name="Tableau croisé dynamique5" cacheId="6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C3:C4" firstHeaderRow="1" firstDataRow="1" firstDataCol="0"/>
  <pivotFields count="13"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x="0"/>
        <item x="3"/>
        <item x="2"/>
        <item x="4"/>
        <item x="1"/>
        <item h="1" x="5"/>
        <item t="default"/>
      </items>
    </pivotField>
  </pivotFields>
  <rowItems count="1">
    <i/>
  </rowItems>
  <colItems count="1">
    <i/>
  </colItems>
  <dataFields count="1">
    <dataField name="Somme de Budget de la Campagne (€)" fld="4" baseField="0" baseItem="0" numFmtId="166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8495E-C5F7-2842-839F-5CA42BFCCA69}" name="Tableau croisé dynamique13" cacheId="6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2" rowHeaderCaption="Réseau Social">
  <location ref="F20:H26" firstHeaderRow="0" firstDataRow="1" firstDataCol="1"/>
  <pivotFields count="13"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7">
        <item x="0"/>
        <item x="1"/>
        <item x="4"/>
        <item x="3"/>
        <item x="2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>
      <items count="7">
        <item x="0"/>
        <item x="3"/>
        <item x="2"/>
        <item x="4"/>
        <item x="1"/>
        <item h="1" x="5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Ventes Générées (€)" fld="8" baseField="0" baseItem="0"/>
    <dataField name="Moyenne de ROI" fld="9" subtotal="average" baseField="0" baseItem="0"/>
  </dataFields>
  <formats count="3">
    <format dxfId="0">
      <pivotArea outline="0" collapsedLevelsAreSubtotals="1" fieldPosition="0"/>
    </format>
    <format dxfId="1">
      <pivotArea dataOnly="0" labelOnly="1" outline="0" axis="axisValues" fieldPosition="0"/>
    </format>
    <format dxfId="2">
      <pivotArea collapsedLevelsAreSubtotals="1" fieldPosition="0">
        <references count="2">
          <reference field="4294967294" count="1" selected="0">
            <x v="0"/>
          </reference>
          <reference field="12" count="0"/>
        </references>
      </pivotArea>
    </format>
  </formats>
  <chartFormats count="6">
    <chartFormat chart="2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0">
      <pivotArea type="data" outline="0" fieldPosition="0">
        <references count="2">
          <reference field="4294967294" count="1" selected="0">
            <x v="1"/>
          </reference>
          <reference field="12" count="1" selected="0">
            <x v="4"/>
          </reference>
        </references>
      </pivotArea>
    </chartFormat>
    <chartFormat chart="20" format="11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20" format="12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Comparaison des performances par réseau social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entre_Intérêt" xr10:uid="{ABE29157-FCF6-3E4B-AE7F-F189ED4907BC}" sourceName="Centre Intérêt">
  <pivotTables>
    <pivotTable tabId="6" name="Tableau croisé dynamique13"/>
    <pivotTable tabId="3" name="Tableau croisé dynamique3"/>
    <pivotTable tabId="6" name="Tableau croisé dynamique10"/>
    <pivotTable tabId="6" name="Tableau croisé dynamique12"/>
    <pivotTable tabId="6" name="Tableau croisé dynamique4"/>
    <pivotTable tabId="6" name="Tableau croisé dynamique5"/>
    <pivotTable tabId="6" name="Tableau croisé dynamique6"/>
    <pivotTable tabId="6" name="Tableau croisé dynamique7"/>
    <pivotTable tabId="6" name="Tableau croisé dynamique8"/>
    <pivotTable tabId="6" name="Tableau croisé dynamique9"/>
  </pivotTables>
  <data>
    <tabular pivotCacheId="902215076">
      <items count="6">
        <i x="0" s="1"/>
        <i x="3" s="1"/>
        <i x="2" s="1"/>
        <i x="4" s="1"/>
        <i x="1" s="1"/>
        <i x="5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ation_du_Public___Sexe" xr10:uid="{AAC9E32A-32C6-4048-9DBD-67EB922B628F}" sourceName="Segmentation du Public - Sexe">
  <pivotTables>
    <pivotTable tabId="6" name="Tableau croisé dynamique13"/>
    <pivotTable tabId="3" name="Tableau croisé dynamique3"/>
    <pivotTable tabId="6" name="Tableau croisé dynamique10"/>
    <pivotTable tabId="6" name="Tableau croisé dynamique12"/>
    <pivotTable tabId="6" name="Tableau croisé dynamique4"/>
    <pivotTable tabId="6" name="Tableau croisé dynamique5"/>
    <pivotTable tabId="6" name="Tableau croisé dynamique6"/>
    <pivotTable tabId="6" name="Tableau croisé dynamique7"/>
    <pivotTable tabId="6" name="Tableau croisé dynamique8"/>
    <pivotTable tabId="6" name="Tableau croisé dynamique9"/>
  </pivotTables>
  <data>
    <tabular pivotCacheId="902215076">
      <items count="3">
        <i x="1" s="1"/>
        <i x="0" s="1"/>
        <i x="2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ation_du_Public___Âge" xr10:uid="{3018F1D3-0769-5344-9363-C40F90485114}" sourceName="Segmentation du Public - Âge">
  <pivotTables>
    <pivotTable tabId="6" name="Tableau croisé dynamique13"/>
  </pivotTables>
  <data>
    <tabular pivotCacheId="902215076">
      <items count="6">
        <i x="0" s="1"/>
        <i x="1" s="1"/>
        <i x="4" s="1"/>
        <i x="3" s="1"/>
        <i x="2" s="1"/>
        <i x="5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éseau_Social" xr10:uid="{F401907B-B0BC-264C-AC82-DE8AD2B50833}" sourceName="Réseau Social">
  <pivotTables>
    <pivotTable tabId="6" name="Tableau croisé dynamique13"/>
    <pivotTable tabId="3" name="Tableau croisé dynamique3"/>
    <pivotTable tabId="6" name="Tableau croisé dynamique10"/>
    <pivotTable tabId="6" name="Tableau croisé dynamique12"/>
    <pivotTable tabId="6" name="Tableau croisé dynamique4"/>
    <pivotTable tabId="6" name="Tableau croisé dynamique5"/>
    <pivotTable tabId="6" name="Tableau croisé dynamique6"/>
    <pivotTable tabId="6" name="Tableau croisé dynamique7"/>
    <pivotTable tabId="6" name="Tableau croisé dynamique8"/>
    <pivotTable tabId="6" name="Tableau croisé dynamique9"/>
  </pivotTables>
  <data>
    <tabular pivotCacheId="902215076">
      <items count="4">
        <i x="0" s="1"/>
        <i x="2" s="1"/>
        <i x="1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entre Intérêt" xr10:uid="{DC72822E-6AA6-5F4E-B621-74D7B11FC0E8}" cache="Segment_Centre_Intérêt" caption="Centre Intérêt" style="SlicerStyleDark5" rowHeight="230716"/>
  <slicer name="Segmentation du Public - Sexe" xr10:uid="{7D672C67-1CFB-144A-ADC7-A0E02D155894}" cache="Segment_Segmentation_du_Public___Sexe" caption="Segmentation du Public - Sexe" style="SlicerStyleDark1" rowHeight="230716"/>
  <slicer name="Segmentation du Public - Âge" xr10:uid="{146D1CC8-6844-234A-9B1E-2D5ACEE3C528}" cache="Segment_Segmentation_du_Public___Âge" caption="Segmentation du Public - Âge" style="SlicerStyleDark4" rowHeight="230716"/>
  <slicer name="Réseau Social" xr10:uid="{692F240F-3146-A243-A789-FC802BB3EC67}" cache="Segment_Réseau_Social" caption="Réseau Social" style="SlicerStyleOther1" rowHeight="230716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M106"/>
  <sheetViews>
    <sheetView topLeftCell="C1" workbookViewId="0">
      <selection activeCell="K1" sqref="K1:K1048576"/>
    </sheetView>
  </sheetViews>
  <sheetFormatPr defaultColWidth="8.85546875" defaultRowHeight="15"/>
  <cols>
    <col min="1" max="1" width="11.140625" bestFit="1" customWidth="1"/>
    <col min="2" max="2" width="17.85546875" customWidth="1"/>
    <col min="3" max="4" width="18" style="3" bestFit="1" customWidth="1"/>
    <col min="5" max="5" width="23.85546875" bestFit="1" customWidth="1"/>
    <col min="6" max="6" width="15" bestFit="1" customWidth="1"/>
    <col min="7" max="7" width="14.42578125" bestFit="1" customWidth="1"/>
    <col min="8" max="8" width="20.85546875" style="1" bestFit="1" customWidth="1"/>
    <col min="9" max="9" width="17.85546875" bestFit="1" customWidth="1"/>
    <col min="10" max="10" width="17.85546875" customWidth="1"/>
    <col min="11" max="11" width="26" bestFit="1" customWidth="1"/>
    <col min="12" max="12" width="26.85546875" bestFit="1" customWidth="1"/>
    <col min="13" max="13" width="29.28515625" bestFit="1" customWidth="1"/>
  </cols>
  <sheetData>
    <row r="1" spans="1:13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>
        <v>1</v>
      </c>
      <c r="B2" t="s">
        <v>13</v>
      </c>
      <c r="C2" s="3">
        <v>44293.36347222222</v>
      </c>
      <c r="D2" s="3">
        <v>44540.354618055557</v>
      </c>
      <c r="E2">
        <v>1394</v>
      </c>
      <c r="F2">
        <v>57620</v>
      </c>
      <c r="G2">
        <v>297</v>
      </c>
      <c r="H2" s="1">
        <v>5.1999999999999998E-3</v>
      </c>
      <c r="I2">
        <v>3046</v>
      </c>
      <c r="J2" s="7">
        <f>(I2-E2)/E2</f>
        <v>1.1850789096126255</v>
      </c>
      <c r="K2" t="s">
        <v>14</v>
      </c>
      <c r="L2" t="s">
        <v>15</v>
      </c>
      <c r="M2" t="s">
        <v>16</v>
      </c>
    </row>
    <row r="3" spans="1:13">
      <c r="A3">
        <v>2</v>
      </c>
      <c r="B3" t="s">
        <v>17</v>
      </c>
      <c r="C3" s="3">
        <v>44408.361354166656</v>
      </c>
      <c r="D3" s="3">
        <v>44415.361354166656</v>
      </c>
      <c r="E3">
        <v>5874</v>
      </c>
      <c r="F3">
        <v>84725</v>
      </c>
      <c r="G3">
        <v>1771</v>
      </c>
      <c r="H3" s="1">
        <v>2.0899999999999998E-2</v>
      </c>
      <c r="I3">
        <v>28067</v>
      </c>
      <c r="J3" s="7">
        <f t="shared" ref="J3:J66" si="0">(I3-E3)/E3</f>
        <v>3.7781750085120871</v>
      </c>
      <c r="K3" t="s">
        <v>14</v>
      </c>
      <c r="L3" t="s">
        <v>18</v>
      </c>
      <c r="M3" t="s">
        <v>16</v>
      </c>
    </row>
    <row r="4" spans="1:13">
      <c r="A4">
        <v>3</v>
      </c>
      <c r="B4" t="s">
        <v>17</v>
      </c>
      <c r="C4" s="3">
        <v>44256.695590277777</v>
      </c>
      <c r="D4" s="3">
        <v>44514.306608796287</v>
      </c>
      <c r="E4">
        <v>636</v>
      </c>
      <c r="F4">
        <v>48993</v>
      </c>
      <c r="G4">
        <v>2785</v>
      </c>
      <c r="H4" s="1">
        <v>5.6800000000000003E-2</v>
      </c>
      <c r="I4">
        <v>2412</v>
      </c>
      <c r="J4" s="7">
        <f t="shared" si="0"/>
        <v>2.7924528301886791</v>
      </c>
      <c r="K4" t="s">
        <v>19</v>
      </c>
      <c r="L4" t="s">
        <v>18</v>
      </c>
      <c r="M4" t="s">
        <v>20</v>
      </c>
    </row>
    <row r="5" spans="1:13">
      <c r="A5">
        <v>4</v>
      </c>
      <c r="B5" t="s">
        <v>13</v>
      </c>
      <c r="C5" s="3">
        <v>44486.347442129627</v>
      </c>
      <c r="D5" s="3">
        <v>44493.347442129627</v>
      </c>
      <c r="E5">
        <v>6773</v>
      </c>
      <c r="F5">
        <v>68398</v>
      </c>
      <c r="G5">
        <v>706</v>
      </c>
      <c r="H5" s="1">
        <v>1.03E-2</v>
      </c>
      <c r="I5">
        <v>21632</v>
      </c>
      <c r="J5" s="7">
        <f t="shared" si="0"/>
        <v>2.1938579654510555</v>
      </c>
      <c r="K5" t="s">
        <v>19</v>
      </c>
      <c r="L5" t="s">
        <v>15</v>
      </c>
      <c r="M5" t="s">
        <v>21</v>
      </c>
    </row>
    <row r="6" spans="1:13">
      <c r="A6">
        <v>5</v>
      </c>
      <c r="B6" t="s">
        <v>13</v>
      </c>
      <c r="C6" s="3">
        <v>44285.474178240736</v>
      </c>
      <c r="D6" s="3">
        <v>44513.962442129632</v>
      </c>
      <c r="E6">
        <v>3919</v>
      </c>
      <c r="F6">
        <v>67439</v>
      </c>
      <c r="G6">
        <v>2220</v>
      </c>
      <c r="H6" s="1">
        <v>3.2899999999999999E-2</v>
      </c>
      <c r="I6">
        <v>4710</v>
      </c>
      <c r="J6" s="7">
        <f t="shared" si="0"/>
        <v>0.20183720336820618</v>
      </c>
      <c r="K6" t="s">
        <v>19</v>
      </c>
      <c r="L6" t="s">
        <v>18</v>
      </c>
      <c r="M6" t="s">
        <v>20</v>
      </c>
    </row>
    <row r="7" spans="1:13">
      <c r="A7">
        <v>6</v>
      </c>
      <c r="B7" t="s">
        <v>13</v>
      </c>
      <c r="C7" s="3">
        <v>44458.929131944453</v>
      </c>
      <c r="D7" s="3">
        <v>44465.929131944453</v>
      </c>
      <c r="E7">
        <v>668</v>
      </c>
      <c r="F7">
        <v>96952</v>
      </c>
      <c r="G7">
        <v>4442</v>
      </c>
      <c r="H7" s="1">
        <v>4.58E-2</v>
      </c>
      <c r="I7">
        <v>802</v>
      </c>
      <c r="J7" s="7">
        <f t="shared" si="0"/>
        <v>0.20059880239520958</v>
      </c>
      <c r="K7" t="s">
        <v>22</v>
      </c>
      <c r="L7" t="s">
        <v>18</v>
      </c>
      <c r="M7" t="s">
        <v>16</v>
      </c>
    </row>
    <row r="8" spans="1:13">
      <c r="A8">
        <v>7</v>
      </c>
      <c r="B8" t="s">
        <v>23</v>
      </c>
      <c r="C8" s="3">
        <v>44201.335231481477</v>
      </c>
      <c r="D8" s="3">
        <v>44229.789155092592</v>
      </c>
      <c r="E8">
        <v>6504</v>
      </c>
      <c r="F8">
        <v>16352</v>
      </c>
      <c r="G8">
        <v>1259</v>
      </c>
      <c r="H8" s="1">
        <v>7.6999999999999999E-2</v>
      </c>
      <c r="I8">
        <v>4951</v>
      </c>
      <c r="J8" s="7">
        <f t="shared" si="0"/>
        <v>-0.23877613776137763</v>
      </c>
      <c r="K8" t="s">
        <v>19</v>
      </c>
      <c r="L8" t="s">
        <v>18</v>
      </c>
      <c r="M8" t="s">
        <v>24</v>
      </c>
    </row>
    <row r="9" spans="1:13">
      <c r="A9">
        <v>8</v>
      </c>
      <c r="B9" t="s">
        <v>17</v>
      </c>
      <c r="C9" s="3">
        <v>44254.067476851851</v>
      </c>
      <c r="D9" s="3">
        <v>44297.686944444453</v>
      </c>
      <c r="E9">
        <v>3352</v>
      </c>
      <c r="F9">
        <v>65022</v>
      </c>
      <c r="G9">
        <v>1831</v>
      </c>
      <c r="H9" s="1">
        <v>2.8199999999999999E-2</v>
      </c>
      <c r="I9">
        <v>14741</v>
      </c>
      <c r="J9" s="7">
        <f t="shared" si="0"/>
        <v>3.3976730310262528</v>
      </c>
      <c r="K9" t="s">
        <v>22</v>
      </c>
      <c r="L9" t="s">
        <v>18</v>
      </c>
      <c r="M9" t="s">
        <v>16</v>
      </c>
    </row>
    <row r="10" spans="1:13">
      <c r="A10">
        <v>9</v>
      </c>
      <c r="B10" t="s">
        <v>13</v>
      </c>
      <c r="C10" s="3">
        <v>44332.473611111112</v>
      </c>
      <c r="D10" s="3">
        <v>44546.527546296304</v>
      </c>
      <c r="E10">
        <v>4919</v>
      </c>
      <c r="F10">
        <v>91616</v>
      </c>
      <c r="G10">
        <v>2361</v>
      </c>
      <c r="H10" s="1">
        <v>2.58E-2</v>
      </c>
      <c r="I10">
        <v>15765</v>
      </c>
      <c r="J10" s="7">
        <f t="shared" si="0"/>
        <v>2.2049196991258384</v>
      </c>
      <c r="K10" t="s">
        <v>14</v>
      </c>
      <c r="L10" t="s">
        <v>18</v>
      </c>
      <c r="M10" t="s">
        <v>21</v>
      </c>
    </row>
    <row r="11" spans="1:13">
      <c r="A11">
        <v>10</v>
      </c>
      <c r="B11" t="s">
        <v>13</v>
      </c>
      <c r="C11" s="3">
        <v>44228.268819444442</v>
      </c>
      <c r="D11" s="3">
        <v>44251.811122685183</v>
      </c>
      <c r="E11">
        <v>8539</v>
      </c>
      <c r="F11">
        <v>90935</v>
      </c>
      <c r="G11">
        <v>3495</v>
      </c>
      <c r="H11" s="1">
        <v>3.8399999999999997E-2</v>
      </c>
      <c r="I11">
        <v>31477</v>
      </c>
      <c r="J11" s="7">
        <f t="shared" si="0"/>
        <v>2.686263028457665</v>
      </c>
      <c r="K11" t="s">
        <v>22</v>
      </c>
      <c r="L11" t="s">
        <v>18</v>
      </c>
      <c r="M11" t="s">
        <v>21</v>
      </c>
    </row>
    <row r="12" spans="1:13">
      <c r="A12">
        <v>11</v>
      </c>
      <c r="B12" t="s">
        <v>23</v>
      </c>
      <c r="C12" s="3">
        <v>44329.355254629627</v>
      </c>
      <c r="D12" s="3">
        <v>44468.289895833332</v>
      </c>
      <c r="E12">
        <v>9200</v>
      </c>
      <c r="F12">
        <v>15297</v>
      </c>
      <c r="G12">
        <v>2475</v>
      </c>
      <c r="H12" s="1">
        <v>0.1618</v>
      </c>
      <c r="I12">
        <v>5452</v>
      </c>
      <c r="J12" s="7">
        <f t="shared" si="0"/>
        <v>-0.40739130434782611</v>
      </c>
      <c r="K12" t="s">
        <v>25</v>
      </c>
      <c r="L12" t="s">
        <v>15</v>
      </c>
      <c r="M12" t="s">
        <v>26</v>
      </c>
    </row>
    <row r="13" spans="1:13">
      <c r="A13">
        <v>12</v>
      </c>
      <c r="B13" t="s">
        <v>13</v>
      </c>
      <c r="C13" s="3">
        <v>44366.74423611111</v>
      </c>
      <c r="D13" s="3">
        <v>44472.621759259258</v>
      </c>
      <c r="E13">
        <v>3686</v>
      </c>
      <c r="F13">
        <v>6896</v>
      </c>
      <c r="G13">
        <v>695</v>
      </c>
      <c r="H13" s="1">
        <v>0.1008</v>
      </c>
      <c r="I13">
        <v>17930</v>
      </c>
      <c r="J13" s="7">
        <f t="shared" si="0"/>
        <v>3.8643516006511125</v>
      </c>
      <c r="K13" t="s">
        <v>27</v>
      </c>
      <c r="L13" t="s">
        <v>18</v>
      </c>
      <c r="M13" t="s">
        <v>24</v>
      </c>
    </row>
    <row r="14" spans="1:13">
      <c r="A14">
        <v>13</v>
      </c>
      <c r="B14" t="s">
        <v>17</v>
      </c>
      <c r="C14" s="3">
        <v>44304.363900462973</v>
      </c>
      <c r="D14" s="3">
        <v>44382.003391203703</v>
      </c>
      <c r="E14">
        <v>6418</v>
      </c>
      <c r="F14">
        <v>13003</v>
      </c>
      <c r="G14">
        <v>2404</v>
      </c>
      <c r="H14" s="1">
        <v>0.18490000000000001</v>
      </c>
      <c r="I14">
        <v>27250</v>
      </c>
      <c r="J14" s="7">
        <f t="shared" si="0"/>
        <v>3.2458709878466814</v>
      </c>
      <c r="K14" t="s">
        <v>14</v>
      </c>
      <c r="L14" t="s">
        <v>15</v>
      </c>
      <c r="M14" t="s">
        <v>20</v>
      </c>
    </row>
    <row r="15" spans="1:13">
      <c r="A15">
        <v>14</v>
      </c>
      <c r="B15" t="s">
        <v>23</v>
      </c>
      <c r="C15" s="3">
        <v>44204.022511574083</v>
      </c>
      <c r="D15" s="3">
        <v>44232.968298611107</v>
      </c>
      <c r="E15">
        <v>5649</v>
      </c>
      <c r="F15">
        <v>74478</v>
      </c>
      <c r="G15">
        <v>3817</v>
      </c>
      <c r="H15" s="1">
        <v>5.1299999999999998E-2</v>
      </c>
      <c r="I15">
        <v>8222</v>
      </c>
      <c r="J15" s="7">
        <f t="shared" si="0"/>
        <v>0.4554788458134183</v>
      </c>
      <c r="K15" t="s">
        <v>25</v>
      </c>
      <c r="L15" t="s">
        <v>15</v>
      </c>
      <c r="M15" t="s">
        <v>24</v>
      </c>
    </row>
    <row r="16" spans="1:13">
      <c r="A16">
        <v>15</v>
      </c>
      <c r="B16" t="s">
        <v>23</v>
      </c>
      <c r="C16" s="3">
        <v>44269.510462962957</v>
      </c>
      <c r="D16" s="3">
        <v>44276.510462962957</v>
      </c>
      <c r="E16">
        <v>2277</v>
      </c>
      <c r="F16">
        <v>24761</v>
      </c>
      <c r="G16">
        <v>3519</v>
      </c>
      <c r="H16" s="1">
        <v>0.1421</v>
      </c>
      <c r="I16">
        <v>3001</v>
      </c>
      <c r="J16" s="7">
        <f t="shared" si="0"/>
        <v>0.31796223100570925</v>
      </c>
      <c r="K16" t="s">
        <v>27</v>
      </c>
      <c r="L16" t="s">
        <v>15</v>
      </c>
      <c r="M16" t="s">
        <v>26</v>
      </c>
    </row>
    <row r="17" spans="1:13">
      <c r="A17">
        <v>16</v>
      </c>
      <c r="B17" t="s">
        <v>23</v>
      </c>
      <c r="C17" s="3">
        <v>44425.339108796303</v>
      </c>
      <c r="D17" s="3">
        <v>44432.339108796303</v>
      </c>
      <c r="E17">
        <v>3861</v>
      </c>
      <c r="F17">
        <v>43439</v>
      </c>
      <c r="G17">
        <v>1231</v>
      </c>
      <c r="H17" s="1">
        <v>2.8299999999999999E-2</v>
      </c>
      <c r="I17">
        <v>5117</v>
      </c>
      <c r="J17" s="7">
        <f t="shared" si="0"/>
        <v>0.32530432530432529</v>
      </c>
      <c r="K17" t="s">
        <v>25</v>
      </c>
      <c r="L17" t="s">
        <v>18</v>
      </c>
      <c r="M17" t="s">
        <v>16</v>
      </c>
    </row>
    <row r="18" spans="1:13">
      <c r="A18">
        <v>17</v>
      </c>
      <c r="B18" t="s">
        <v>13</v>
      </c>
      <c r="C18" s="3">
        <v>44420.439849537041</v>
      </c>
      <c r="D18" s="3">
        <v>44427.439849537041</v>
      </c>
      <c r="E18">
        <v>8838</v>
      </c>
      <c r="F18">
        <v>82858</v>
      </c>
      <c r="G18">
        <v>2103</v>
      </c>
      <c r="H18" s="1">
        <v>2.5399999999999999E-2</v>
      </c>
      <c r="I18">
        <v>16519</v>
      </c>
      <c r="J18" s="7">
        <f t="shared" si="0"/>
        <v>0.86908802896582937</v>
      </c>
      <c r="K18" t="s">
        <v>27</v>
      </c>
      <c r="L18" t="s">
        <v>18</v>
      </c>
      <c r="M18" t="s">
        <v>21</v>
      </c>
    </row>
    <row r="19" spans="1:13">
      <c r="A19">
        <v>18</v>
      </c>
      <c r="B19" t="s">
        <v>13</v>
      </c>
      <c r="C19" s="3">
        <v>44431.595532407409</v>
      </c>
      <c r="D19" s="3">
        <v>44438.595532407409</v>
      </c>
      <c r="E19">
        <v>5893</v>
      </c>
      <c r="F19">
        <v>96804</v>
      </c>
      <c r="G19">
        <v>3691</v>
      </c>
      <c r="H19" s="1">
        <v>3.8100000000000002E-2</v>
      </c>
      <c r="I19">
        <v>16862</v>
      </c>
      <c r="J19" s="7">
        <f t="shared" si="0"/>
        <v>1.8613609367045647</v>
      </c>
      <c r="K19" t="s">
        <v>27</v>
      </c>
      <c r="L19" t="s">
        <v>18</v>
      </c>
      <c r="M19" t="s">
        <v>16</v>
      </c>
    </row>
    <row r="20" spans="1:13">
      <c r="A20">
        <v>19</v>
      </c>
      <c r="B20" t="s">
        <v>13</v>
      </c>
      <c r="C20" s="3">
        <v>44341.147407407407</v>
      </c>
      <c r="D20" s="3">
        <v>44348.147407407407</v>
      </c>
      <c r="E20">
        <v>4817</v>
      </c>
      <c r="F20">
        <v>53280</v>
      </c>
      <c r="G20">
        <v>3321</v>
      </c>
      <c r="H20" s="1">
        <v>6.2300000000000001E-2</v>
      </c>
      <c r="I20">
        <v>11771</v>
      </c>
      <c r="J20" s="7">
        <f t="shared" si="0"/>
        <v>1.4436371185385095</v>
      </c>
      <c r="K20" t="s">
        <v>19</v>
      </c>
      <c r="L20" t="s">
        <v>15</v>
      </c>
      <c r="M20" t="s">
        <v>16</v>
      </c>
    </row>
    <row r="21" spans="1:13">
      <c r="A21">
        <v>20</v>
      </c>
      <c r="B21" t="s">
        <v>23</v>
      </c>
      <c r="C21" s="3">
        <v>44438.494479166657</v>
      </c>
      <c r="D21" s="3">
        <v>44445.494479166657</v>
      </c>
      <c r="E21">
        <v>5105</v>
      </c>
      <c r="F21">
        <v>37589</v>
      </c>
      <c r="G21">
        <v>2121</v>
      </c>
      <c r="H21" s="1">
        <v>5.6399999999999999E-2</v>
      </c>
      <c r="I21">
        <v>9242</v>
      </c>
      <c r="J21" s="7">
        <f t="shared" si="0"/>
        <v>0.8103819784524976</v>
      </c>
      <c r="K21" t="s">
        <v>25</v>
      </c>
      <c r="L21" t="s">
        <v>18</v>
      </c>
      <c r="M21" t="s">
        <v>26</v>
      </c>
    </row>
    <row r="22" spans="1:13">
      <c r="A22">
        <v>21</v>
      </c>
      <c r="B22" t="s">
        <v>23</v>
      </c>
      <c r="C22" s="3">
        <v>44397.618344907409</v>
      </c>
      <c r="D22" s="3">
        <v>44404.618344907409</v>
      </c>
      <c r="E22">
        <v>3062</v>
      </c>
      <c r="F22">
        <v>85631</v>
      </c>
      <c r="G22">
        <v>1807</v>
      </c>
      <c r="H22" s="1">
        <v>2.1100000000000001E-2</v>
      </c>
      <c r="I22">
        <v>9961</v>
      </c>
      <c r="J22" s="7">
        <f t="shared" si="0"/>
        <v>2.2531025473546702</v>
      </c>
      <c r="K22" t="s">
        <v>25</v>
      </c>
      <c r="L22" t="s">
        <v>18</v>
      </c>
      <c r="M22" t="s">
        <v>20</v>
      </c>
    </row>
    <row r="23" spans="1:13">
      <c r="A23">
        <v>22</v>
      </c>
      <c r="B23" t="s">
        <v>17</v>
      </c>
      <c r="C23" s="3">
        <v>44438.218113425923</v>
      </c>
      <c r="D23" s="3">
        <v>44549.529108796298</v>
      </c>
      <c r="E23">
        <v>6713</v>
      </c>
      <c r="F23">
        <v>9472</v>
      </c>
      <c r="G23">
        <v>1682</v>
      </c>
      <c r="H23" s="1">
        <v>0.17760000000000001</v>
      </c>
      <c r="I23">
        <v>7570</v>
      </c>
      <c r="J23" s="7">
        <f t="shared" si="0"/>
        <v>0.12766274392968865</v>
      </c>
      <c r="K23" t="s">
        <v>14</v>
      </c>
      <c r="L23" t="s">
        <v>18</v>
      </c>
      <c r="M23" t="s">
        <v>16</v>
      </c>
    </row>
    <row r="24" spans="1:13">
      <c r="A24">
        <v>23</v>
      </c>
      <c r="B24" t="s">
        <v>23</v>
      </c>
      <c r="C24" s="3">
        <v>44545.197256944448</v>
      </c>
      <c r="D24" s="3">
        <v>44552.197256944448</v>
      </c>
      <c r="E24">
        <v>9600</v>
      </c>
      <c r="F24">
        <v>67564</v>
      </c>
      <c r="G24">
        <v>100</v>
      </c>
      <c r="H24" s="1">
        <v>1.5E-3</v>
      </c>
      <c r="I24">
        <v>17420</v>
      </c>
      <c r="J24" s="7">
        <f t="shared" si="0"/>
        <v>0.81458333333333333</v>
      </c>
      <c r="K24" t="s">
        <v>22</v>
      </c>
      <c r="L24" t="s">
        <v>18</v>
      </c>
      <c r="M24" t="s">
        <v>21</v>
      </c>
    </row>
    <row r="25" spans="1:13">
      <c r="A25">
        <v>24</v>
      </c>
      <c r="B25" t="s">
        <v>13</v>
      </c>
      <c r="C25" s="3">
        <v>44290.587118055562</v>
      </c>
      <c r="D25" s="3">
        <v>44550.366296296299</v>
      </c>
      <c r="E25">
        <v>5152</v>
      </c>
      <c r="F25">
        <v>36428</v>
      </c>
      <c r="G25">
        <v>791</v>
      </c>
      <c r="H25" s="1">
        <v>2.1700000000000001E-2</v>
      </c>
      <c r="I25">
        <v>11069</v>
      </c>
      <c r="J25" s="7">
        <f t="shared" si="0"/>
        <v>1.1484860248447204</v>
      </c>
      <c r="K25" t="s">
        <v>25</v>
      </c>
      <c r="L25" t="s">
        <v>15</v>
      </c>
      <c r="M25" t="s">
        <v>21</v>
      </c>
    </row>
    <row r="26" spans="1:13">
      <c r="A26">
        <v>25</v>
      </c>
      <c r="B26" t="s">
        <v>13</v>
      </c>
      <c r="C26" s="3">
        <v>44390.611122685194</v>
      </c>
      <c r="D26" s="3">
        <v>44397.611122685194</v>
      </c>
      <c r="E26">
        <v>6735</v>
      </c>
      <c r="F26">
        <v>63444</v>
      </c>
      <c r="G26">
        <v>3246</v>
      </c>
      <c r="H26" s="1">
        <v>5.1200000000000002E-2</v>
      </c>
      <c r="I26">
        <v>17189</v>
      </c>
      <c r="J26" s="7">
        <f t="shared" si="0"/>
        <v>1.5521900519673348</v>
      </c>
      <c r="K26" t="s">
        <v>25</v>
      </c>
      <c r="L26" t="s">
        <v>18</v>
      </c>
      <c r="M26" t="s">
        <v>20</v>
      </c>
    </row>
    <row r="27" spans="1:13">
      <c r="A27">
        <v>26</v>
      </c>
      <c r="B27" t="s">
        <v>23</v>
      </c>
      <c r="C27" s="3">
        <v>44501.387326388889</v>
      </c>
      <c r="D27" s="3">
        <v>44553.368877314817</v>
      </c>
      <c r="E27">
        <v>923</v>
      </c>
      <c r="F27">
        <v>68889</v>
      </c>
      <c r="G27">
        <v>2647</v>
      </c>
      <c r="H27" s="1">
        <v>3.8399999999999997E-2</v>
      </c>
      <c r="I27">
        <v>3722</v>
      </c>
      <c r="J27" s="7">
        <f t="shared" si="0"/>
        <v>3.0325027085590466</v>
      </c>
      <c r="K27" t="s">
        <v>14</v>
      </c>
      <c r="L27" t="s">
        <v>15</v>
      </c>
      <c r="M27" t="s">
        <v>20</v>
      </c>
    </row>
    <row r="28" spans="1:13">
      <c r="A28">
        <v>27</v>
      </c>
      <c r="B28" t="s">
        <v>17</v>
      </c>
      <c r="C28" s="3">
        <v>44236.923333333332</v>
      </c>
      <c r="D28" s="3">
        <v>44506.363321759258</v>
      </c>
      <c r="E28">
        <v>7354</v>
      </c>
      <c r="F28">
        <v>93503</v>
      </c>
      <c r="G28">
        <v>2886</v>
      </c>
      <c r="H28" s="1">
        <v>3.09E-2</v>
      </c>
      <c r="I28">
        <v>10284</v>
      </c>
      <c r="J28" s="7">
        <f t="shared" si="0"/>
        <v>0.39842262714169158</v>
      </c>
      <c r="K28" t="s">
        <v>14</v>
      </c>
      <c r="L28" t="s">
        <v>18</v>
      </c>
      <c r="M28" t="s">
        <v>26</v>
      </c>
    </row>
    <row r="29" spans="1:13">
      <c r="A29">
        <v>28</v>
      </c>
      <c r="B29" t="s">
        <v>23</v>
      </c>
      <c r="C29" s="3">
        <v>44412.996412037042</v>
      </c>
      <c r="D29" s="3">
        <v>44419.996412037042</v>
      </c>
      <c r="E29">
        <v>1467</v>
      </c>
      <c r="F29">
        <v>88582</v>
      </c>
      <c r="G29">
        <v>2783</v>
      </c>
      <c r="H29" s="1">
        <v>3.1399999999999997E-2</v>
      </c>
      <c r="I29">
        <v>4128</v>
      </c>
      <c r="J29" s="7">
        <f t="shared" si="0"/>
        <v>1.8139059304703475</v>
      </c>
      <c r="K29" t="s">
        <v>19</v>
      </c>
      <c r="L29" t="s">
        <v>15</v>
      </c>
      <c r="M29" t="s">
        <v>24</v>
      </c>
    </row>
    <row r="30" spans="1:13">
      <c r="A30">
        <v>29</v>
      </c>
      <c r="B30" t="s">
        <v>23</v>
      </c>
      <c r="C30" s="3">
        <v>44438.11582175926</v>
      </c>
      <c r="D30" s="3">
        <v>44532.201886574083</v>
      </c>
      <c r="E30">
        <v>4870</v>
      </c>
      <c r="F30">
        <v>8734</v>
      </c>
      <c r="G30">
        <v>443</v>
      </c>
      <c r="H30" s="1">
        <v>5.0700000000000002E-2</v>
      </c>
      <c r="I30">
        <v>15417</v>
      </c>
      <c r="J30" s="7">
        <f t="shared" si="0"/>
        <v>2.1657084188911706</v>
      </c>
      <c r="K30" t="s">
        <v>22</v>
      </c>
      <c r="L30" t="s">
        <v>15</v>
      </c>
      <c r="M30" t="s">
        <v>21</v>
      </c>
    </row>
    <row r="31" spans="1:13">
      <c r="A31">
        <v>30</v>
      </c>
      <c r="B31" t="s">
        <v>23</v>
      </c>
      <c r="C31" s="3">
        <v>44527.317013888889</v>
      </c>
      <c r="D31" s="3">
        <v>44534.317013888889</v>
      </c>
      <c r="E31">
        <v>9552</v>
      </c>
      <c r="F31">
        <v>91265</v>
      </c>
      <c r="G31">
        <v>4478</v>
      </c>
      <c r="H31" s="1">
        <v>4.9099999999999998E-2</v>
      </c>
      <c r="I31">
        <v>6772</v>
      </c>
      <c r="J31" s="7">
        <f t="shared" si="0"/>
        <v>-0.29103852596314905</v>
      </c>
      <c r="K31" t="s">
        <v>22</v>
      </c>
      <c r="L31" t="s">
        <v>18</v>
      </c>
      <c r="M31" t="s">
        <v>16</v>
      </c>
    </row>
    <row r="32" spans="1:13">
      <c r="A32">
        <v>31</v>
      </c>
      <c r="B32" t="s">
        <v>13</v>
      </c>
      <c r="C32" s="3">
        <v>44323.422060185178</v>
      </c>
      <c r="D32" s="3">
        <v>44347.390266203707</v>
      </c>
      <c r="E32">
        <v>6687</v>
      </c>
      <c r="F32">
        <v>29436</v>
      </c>
      <c r="G32">
        <v>3287</v>
      </c>
      <c r="H32" s="1">
        <v>0.11169999999999999</v>
      </c>
      <c r="I32">
        <v>21625</v>
      </c>
      <c r="J32" s="7">
        <f t="shared" si="0"/>
        <v>2.233886645730522</v>
      </c>
      <c r="K32" t="s">
        <v>19</v>
      </c>
      <c r="L32" t="s">
        <v>18</v>
      </c>
      <c r="M32" t="s">
        <v>26</v>
      </c>
    </row>
    <row r="33" spans="1:13">
      <c r="A33">
        <v>32</v>
      </c>
      <c r="B33" t="s">
        <v>13</v>
      </c>
      <c r="C33" s="3">
        <v>44476.01662037037</v>
      </c>
      <c r="D33" s="3">
        <v>44491.978171296287</v>
      </c>
      <c r="E33">
        <v>5703</v>
      </c>
      <c r="F33">
        <v>24905</v>
      </c>
      <c r="G33">
        <v>4624</v>
      </c>
      <c r="H33" s="1">
        <v>0.1857</v>
      </c>
      <c r="I33">
        <v>7227</v>
      </c>
      <c r="J33" s="7">
        <f t="shared" si="0"/>
        <v>0.26722777485533927</v>
      </c>
      <c r="K33" t="s">
        <v>14</v>
      </c>
      <c r="L33" t="s">
        <v>15</v>
      </c>
      <c r="M33" t="s">
        <v>20</v>
      </c>
    </row>
    <row r="34" spans="1:13">
      <c r="A34">
        <v>33</v>
      </c>
      <c r="B34" t="s">
        <v>13</v>
      </c>
      <c r="C34" s="3">
        <v>44316.58666666667</v>
      </c>
      <c r="D34" s="3">
        <v>44354.322962962957</v>
      </c>
      <c r="E34">
        <v>933</v>
      </c>
      <c r="F34">
        <v>27981</v>
      </c>
      <c r="G34">
        <v>927</v>
      </c>
      <c r="H34" s="1">
        <v>3.3099999999999997E-2</v>
      </c>
      <c r="I34">
        <v>739</v>
      </c>
      <c r="J34" s="7">
        <f t="shared" si="0"/>
        <v>-0.20793140407288319</v>
      </c>
      <c r="K34" t="s">
        <v>14</v>
      </c>
      <c r="L34" t="s">
        <v>15</v>
      </c>
      <c r="M34" t="s">
        <v>16</v>
      </c>
    </row>
    <row r="35" spans="1:13">
      <c r="A35">
        <v>34</v>
      </c>
      <c r="B35" t="s">
        <v>23</v>
      </c>
      <c r="C35" s="3">
        <v>44387.315972222219</v>
      </c>
      <c r="D35" s="3">
        <v>44394.315972222219</v>
      </c>
      <c r="E35">
        <v>6737</v>
      </c>
      <c r="F35">
        <v>77473</v>
      </c>
      <c r="G35">
        <v>1949</v>
      </c>
      <c r="H35" s="1">
        <v>2.52E-2</v>
      </c>
      <c r="I35">
        <v>32135</v>
      </c>
      <c r="J35" s="7">
        <f t="shared" si="0"/>
        <v>3.7699272673296718</v>
      </c>
      <c r="K35" t="s">
        <v>14</v>
      </c>
      <c r="L35" t="s">
        <v>18</v>
      </c>
      <c r="M35" t="s">
        <v>24</v>
      </c>
    </row>
    <row r="36" spans="1:13">
      <c r="A36">
        <v>35</v>
      </c>
      <c r="B36" t="s">
        <v>17</v>
      </c>
      <c r="C36" s="3">
        <v>44258.509687500002</v>
      </c>
      <c r="D36" s="3">
        <v>44332.247847222221</v>
      </c>
      <c r="E36">
        <v>1929</v>
      </c>
      <c r="F36">
        <v>46463</v>
      </c>
      <c r="G36">
        <v>2321</v>
      </c>
      <c r="H36" s="1">
        <v>0.05</v>
      </c>
      <c r="I36">
        <v>9346</v>
      </c>
      <c r="J36" s="7">
        <f t="shared" si="0"/>
        <v>3.8449974079834113</v>
      </c>
      <c r="K36" t="s">
        <v>25</v>
      </c>
      <c r="L36" t="s">
        <v>15</v>
      </c>
      <c r="M36" t="s">
        <v>20</v>
      </c>
    </row>
    <row r="37" spans="1:13">
      <c r="A37">
        <v>36</v>
      </c>
      <c r="B37" t="s">
        <v>23</v>
      </c>
      <c r="C37" s="3">
        <v>44374.534537037027</v>
      </c>
      <c r="D37" s="3">
        <v>44379.758715277778</v>
      </c>
      <c r="E37">
        <v>3046</v>
      </c>
      <c r="F37">
        <v>98691</v>
      </c>
      <c r="G37">
        <v>3304</v>
      </c>
      <c r="H37" s="1">
        <v>3.3500000000000002E-2</v>
      </c>
      <c r="I37">
        <v>12603</v>
      </c>
      <c r="J37" s="7">
        <f t="shared" si="0"/>
        <v>3.1375574523965857</v>
      </c>
      <c r="K37" t="s">
        <v>22</v>
      </c>
      <c r="L37" t="s">
        <v>18</v>
      </c>
      <c r="M37" t="s">
        <v>24</v>
      </c>
    </row>
    <row r="38" spans="1:13">
      <c r="A38">
        <v>37</v>
      </c>
      <c r="B38" t="s">
        <v>23</v>
      </c>
      <c r="C38" s="3">
        <v>44507.593506944453</v>
      </c>
      <c r="D38" s="3">
        <v>44514.593506944453</v>
      </c>
      <c r="E38">
        <v>829</v>
      </c>
      <c r="F38">
        <v>67589</v>
      </c>
      <c r="G38">
        <v>3613</v>
      </c>
      <c r="H38" s="1">
        <v>5.3499999999999999E-2</v>
      </c>
      <c r="I38">
        <v>1550</v>
      </c>
      <c r="J38" s="7">
        <f t="shared" si="0"/>
        <v>0.86972255729794934</v>
      </c>
      <c r="K38" t="s">
        <v>22</v>
      </c>
      <c r="L38" t="s">
        <v>18</v>
      </c>
      <c r="M38" t="s">
        <v>24</v>
      </c>
    </row>
    <row r="39" spans="1:13">
      <c r="A39">
        <v>38</v>
      </c>
      <c r="B39" t="s">
        <v>13</v>
      </c>
      <c r="C39" s="3">
        <v>44303.021956018521</v>
      </c>
      <c r="D39" s="3">
        <v>44427.530856481477</v>
      </c>
      <c r="E39">
        <v>4112</v>
      </c>
      <c r="F39">
        <v>20361</v>
      </c>
      <c r="G39">
        <v>193</v>
      </c>
      <c r="H39" s="1">
        <v>9.4999999999999998E-3</v>
      </c>
      <c r="I39">
        <v>3863</v>
      </c>
      <c r="J39" s="7">
        <f t="shared" si="0"/>
        <v>-6.0554474708171206E-2</v>
      </c>
      <c r="K39" t="s">
        <v>27</v>
      </c>
      <c r="L39" t="s">
        <v>15</v>
      </c>
      <c r="M39" t="s">
        <v>21</v>
      </c>
    </row>
    <row r="40" spans="1:13">
      <c r="A40">
        <v>39</v>
      </c>
      <c r="B40" t="s">
        <v>13</v>
      </c>
      <c r="C40" s="3">
        <v>44203.60659722222</v>
      </c>
      <c r="D40" s="3">
        <v>44380.354432870372</v>
      </c>
      <c r="E40">
        <v>8901</v>
      </c>
      <c r="F40">
        <v>22875</v>
      </c>
      <c r="G40">
        <v>2567</v>
      </c>
      <c r="H40" s="1">
        <v>0.11219999999999999</v>
      </c>
      <c r="I40">
        <v>31857</v>
      </c>
      <c r="J40" s="7">
        <f t="shared" si="0"/>
        <v>2.5790360633636671</v>
      </c>
      <c r="K40" t="s">
        <v>27</v>
      </c>
      <c r="L40" t="s">
        <v>15</v>
      </c>
      <c r="M40" t="s">
        <v>21</v>
      </c>
    </row>
    <row r="41" spans="1:13">
      <c r="A41">
        <v>40</v>
      </c>
      <c r="B41" t="s">
        <v>23</v>
      </c>
      <c r="C41" s="3">
        <v>44391.420752314807</v>
      </c>
      <c r="D41" s="3">
        <v>44398.420752314807</v>
      </c>
      <c r="E41">
        <v>7261</v>
      </c>
      <c r="F41">
        <v>37661</v>
      </c>
      <c r="G41">
        <v>3878</v>
      </c>
      <c r="H41" s="1">
        <v>0.10299999999999999</v>
      </c>
      <c r="I41">
        <v>18012</v>
      </c>
      <c r="J41" s="7">
        <f t="shared" si="0"/>
        <v>1.4806500482027269</v>
      </c>
      <c r="K41" t="s">
        <v>25</v>
      </c>
      <c r="L41" t="s">
        <v>15</v>
      </c>
      <c r="M41" t="s">
        <v>24</v>
      </c>
    </row>
    <row r="42" spans="1:13">
      <c r="A42">
        <v>41</v>
      </c>
      <c r="B42" t="s">
        <v>17</v>
      </c>
      <c r="C42" s="3">
        <v>44471.915266203701</v>
      </c>
      <c r="D42" s="3">
        <v>44472.915266203701</v>
      </c>
      <c r="E42">
        <v>4468</v>
      </c>
      <c r="F42">
        <v>3679</v>
      </c>
      <c r="G42">
        <v>504</v>
      </c>
      <c r="H42" s="1">
        <v>0.13700000000000001</v>
      </c>
      <c r="I42">
        <v>4687</v>
      </c>
      <c r="J42" s="7">
        <f t="shared" si="0"/>
        <v>4.9015219337511191E-2</v>
      </c>
      <c r="K42" t="s">
        <v>25</v>
      </c>
      <c r="L42" t="s">
        <v>18</v>
      </c>
      <c r="M42" t="s">
        <v>21</v>
      </c>
    </row>
    <row r="43" spans="1:13">
      <c r="A43">
        <v>42</v>
      </c>
      <c r="B43" t="s">
        <v>13</v>
      </c>
      <c r="C43" s="3">
        <v>44249.646585648137</v>
      </c>
      <c r="D43" s="3">
        <v>44331.427071759259</v>
      </c>
      <c r="E43">
        <v>8650</v>
      </c>
      <c r="F43">
        <v>77723</v>
      </c>
      <c r="G43">
        <v>1309</v>
      </c>
      <c r="H43" s="1">
        <v>1.6799999999999999E-2</v>
      </c>
      <c r="I43">
        <v>23599</v>
      </c>
      <c r="J43" s="7">
        <f t="shared" si="0"/>
        <v>1.7282080924855492</v>
      </c>
      <c r="K43" t="s">
        <v>22</v>
      </c>
      <c r="L43" t="s">
        <v>18</v>
      </c>
      <c r="M43" t="s">
        <v>20</v>
      </c>
    </row>
    <row r="44" spans="1:13">
      <c r="A44">
        <v>43</v>
      </c>
      <c r="B44" t="s">
        <v>17</v>
      </c>
      <c r="C44" s="3">
        <v>44430.764143518521</v>
      </c>
      <c r="D44" s="3">
        <v>44523.863599537042</v>
      </c>
      <c r="E44">
        <v>1540</v>
      </c>
      <c r="F44">
        <v>71486</v>
      </c>
      <c r="G44">
        <v>475</v>
      </c>
      <c r="H44" s="1">
        <v>6.6E-3</v>
      </c>
      <c r="I44">
        <v>1008</v>
      </c>
      <c r="J44" s="7">
        <f t="shared" si="0"/>
        <v>-0.34545454545454546</v>
      </c>
      <c r="K44" t="s">
        <v>27</v>
      </c>
      <c r="L44" t="s">
        <v>18</v>
      </c>
      <c r="M44" t="s">
        <v>24</v>
      </c>
    </row>
    <row r="45" spans="1:13">
      <c r="A45">
        <v>44</v>
      </c>
      <c r="B45" t="s">
        <v>17</v>
      </c>
      <c r="C45" s="3">
        <v>44537.370497685188</v>
      </c>
      <c r="D45" s="3">
        <v>44557.775347222218</v>
      </c>
      <c r="E45">
        <v>6750</v>
      </c>
      <c r="F45">
        <v>32222</v>
      </c>
      <c r="G45">
        <v>4045</v>
      </c>
      <c r="H45" s="1">
        <v>0.1255</v>
      </c>
      <c r="I45">
        <v>30995</v>
      </c>
      <c r="J45" s="7">
        <f t="shared" si="0"/>
        <v>3.5918518518518519</v>
      </c>
      <c r="K45" t="s">
        <v>19</v>
      </c>
      <c r="L45" t="s">
        <v>18</v>
      </c>
      <c r="M45" t="s">
        <v>24</v>
      </c>
    </row>
    <row r="46" spans="1:13">
      <c r="A46">
        <v>45</v>
      </c>
      <c r="B46" t="s">
        <v>23</v>
      </c>
      <c r="C46" s="3">
        <v>44524.574282407397</v>
      </c>
      <c r="D46" s="3">
        <v>44531.574282407397</v>
      </c>
      <c r="E46">
        <v>8856</v>
      </c>
      <c r="F46">
        <v>69201</v>
      </c>
      <c r="G46">
        <v>2850</v>
      </c>
      <c r="H46" s="1">
        <v>4.1200000000000001E-2</v>
      </c>
      <c r="I46">
        <v>14740</v>
      </c>
      <c r="J46" s="7">
        <f t="shared" si="0"/>
        <v>0.66440831074977413</v>
      </c>
      <c r="K46" t="s">
        <v>14</v>
      </c>
      <c r="L46" t="s">
        <v>18</v>
      </c>
      <c r="M46" t="s">
        <v>26</v>
      </c>
    </row>
    <row r="47" spans="1:13">
      <c r="A47">
        <v>46</v>
      </c>
      <c r="B47" t="s">
        <v>23</v>
      </c>
      <c r="C47" s="3">
        <v>44231.108148148152</v>
      </c>
      <c r="D47" s="3">
        <v>44342.569050925929</v>
      </c>
      <c r="E47">
        <v>9298</v>
      </c>
      <c r="F47">
        <v>85977</v>
      </c>
      <c r="G47">
        <v>597</v>
      </c>
      <c r="H47" s="1">
        <v>6.8999999999999999E-3</v>
      </c>
      <c r="I47">
        <v>32369</v>
      </c>
      <c r="J47" s="7">
        <f t="shared" si="0"/>
        <v>2.4812862981286297</v>
      </c>
      <c r="K47" t="s">
        <v>22</v>
      </c>
      <c r="L47" t="s">
        <v>15</v>
      </c>
      <c r="M47" t="s">
        <v>26</v>
      </c>
    </row>
    <row r="48" spans="1:13">
      <c r="A48">
        <v>47</v>
      </c>
      <c r="B48" t="s">
        <v>23</v>
      </c>
      <c r="C48" s="3">
        <v>44508.592256944437</v>
      </c>
      <c r="D48" s="3">
        <v>44515.592256944437</v>
      </c>
      <c r="E48">
        <v>8204</v>
      </c>
      <c r="F48">
        <v>31857</v>
      </c>
      <c r="G48">
        <v>1538</v>
      </c>
      <c r="H48" s="1">
        <v>4.8300000000000003E-2</v>
      </c>
      <c r="I48">
        <v>15609</v>
      </c>
      <c r="J48" s="7">
        <f t="shared" si="0"/>
        <v>0.90260848366650415</v>
      </c>
      <c r="K48" t="s">
        <v>19</v>
      </c>
      <c r="L48" t="s">
        <v>15</v>
      </c>
      <c r="M48" t="s">
        <v>26</v>
      </c>
    </row>
    <row r="49" spans="1:13">
      <c r="A49">
        <v>48</v>
      </c>
      <c r="B49" t="s">
        <v>17</v>
      </c>
      <c r="C49" s="3">
        <v>44432.364583333343</v>
      </c>
      <c r="D49" s="3">
        <v>44553.692337962973</v>
      </c>
      <c r="E49">
        <v>7272</v>
      </c>
      <c r="F49">
        <v>40606</v>
      </c>
      <c r="G49">
        <v>838</v>
      </c>
      <c r="H49" s="1">
        <v>2.06E-2</v>
      </c>
      <c r="I49">
        <v>20654</v>
      </c>
      <c r="J49" s="7">
        <f t="shared" si="0"/>
        <v>1.8402090209020903</v>
      </c>
      <c r="K49" t="s">
        <v>25</v>
      </c>
      <c r="L49" t="s">
        <v>15</v>
      </c>
      <c r="M49" t="s">
        <v>26</v>
      </c>
    </row>
    <row r="50" spans="1:13">
      <c r="A50">
        <v>49</v>
      </c>
      <c r="B50" t="s">
        <v>13</v>
      </c>
      <c r="C50" s="3">
        <v>44251.756527777783</v>
      </c>
      <c r="D50" s="3">
        <v>44269.65420138889</v>
      </c>
      <c r="E50">
        <v>5811</v>
      </c>
      <c r="F50">
        <v>1851</v>
      </c>
      <c r="G50">
        <v>1851</v>
      </c>
      <c r="H50" s="1">
        <v>1</v>
      </c>
      <c r="I50">
        <v>17201</v>
      </c>
      <c r="J50" s="7">
        <f t="shared" si="0"/>
        <v>1.9600757184649802</v>
      </c>
      <c r="K50" t="s">
        <v>14</v>
      </c>
      <c r="L50" t="s">
        <v>15</v>
      </c>
      <c r="M50" t="s">
        <v>16</v>
      </c>
    </row>
    <row r="51" spans="1:13">
      <c r="A51">
        <v>50</v>
      </c>
      <c r="B51" t="s">
        <v>13</v>
      </c>
      <c r="C51" s="3">
        <v>44395.783009259263</v>
      </c>
      <c r="D51" s="3">
        <v>44486.525995370372</v>
      </c>
      <c r="E51">
        <v>9911</v>
      </c>
      <c r="F51">
        <v>6028</v>
      </c>
      <c r="G51">
        <v>3390</v>
      </c>
      <c r="H51" s="1">
        <v>0.56240000000000001</v>
      </c>
      <c r="I51">
        <v>13199</v>
      </c>
      <c r="J51" s="7">
        <f t="shared" si="0"/>
        <v>0.33175259812329733</v>
      </c>
      <c r="K51" t="s">
        <v>25</v>
      </c>
      <c r="L51" t="s">
        <v>15</v>
      </c>
      <c r="M51" t="s">
        <v>26</v>
      </c>
    </row>
    <row r="52" spans="1:13">
      <c r="A52">
        <v>51</v>
      </c>
      <c r="B52" t="s">
        <v>23</v>
      </c>
      <c r="C52" s="3">
        <v>44220.975601851853</v>
      </c>
      <c r="D52" s="3">
        <v>44413.379803240743</v>
      </c>
      <c r="E52">
        <v>9644</v>
      </c>
      <c r="F52">
        <v>21177</v>
      </c>
      <c r="G52">
        <v>2075</v>
      </c>
      <c r="H52" s="1">
        <v>9.8000000000000004E-2</v>
      </c>
      <c r="I52">
        <v>46900</v>
      </c>
      <c r="J52" s="7">
        <f t="shared" si="0"/>
        <v>3.863127333056823</v>
      </c>
      <c r="K52" t="s">
        <v>27</v>
      </c>
      <c r="L52" t="s">
        <v>18</v>
      </c>
      <c r="M52" t="s">
        <v>20</v>
      </c>
    </row>
    <row r="53" spans="1:13">
      <c r="A53">
        <v>52</v>
      </c>
      <c r="B53" t="s">
        <v>13</v>
      </c>
      <c r="C53" s="3">
        <v>44482.921469907407</v>
      </c>
      <c r="D53" s="3">
        <v>44489.921469907407</v>
      </c>
      <c r="E53">
        <v>6511</v>
      </c>
      <c r="F53">
        <v>90236</v>
      </c>
      <c r="G53">
        <v>1662</v>
      </c>
      <c r="H53" s="1">
        <v>1.84E-2</v>
      </c>
      <c r="I53">
        <v>25966</v>
      </c>
      <c r="J53" s="7">
        <f t="shared" si="0"/>
        <v>2.9880202733835048</v>
      </c>
      <c r="K53" t="s">
        <v>19</v>
      </c>
      <c r="L53" t="s">
        <v>15</v>
      </c>
      <c r="M53" t="s">
        <v>16</v>
      </c>
    </row>
    <row r="54" spans="1:13">
      <c r="A54">
        <v>53</v>
      </c>
      <c r="B54" t="s">
        <v>17</v>
      </c>
      <c r="C54" s="3">
        <v>44448.509664351863</v>
      </c>
      <c r="D54" s="3">
        <v>44455.509664351863</v>
      </c>
      <c r="E54">
        <v>3298</v>
      </c>
      <c r="F54">
        <v>40920</v>
      </c>
      <c r="G54">
        <v>560</v>
      </c>
      <c r="H54" s="1">
        <v>1.37E-2</v>
      </c>
      <c r="I54">
        <v>15592</v>
      </c>
      <c r="J54" s="7">
        <f t="shared" si="0"/>
        <v>3.7277137659187387</v>
      </c>
      <c r="K54" t="s">
        <v>14</v>
      </c>
      <c r="L54" t="s">
        <v>18</v>
      </c>
      <c r="M54" t="s">
        <v>20</v>
      </c>
    </row>
    <row r="55" spans="1:13">
      <c r="A55">
        <v>54</v>
      </c>
      <c r="B55" t="s">
        <v>17</v>
      </c>
      <c r="C55" s="3">
        <v>44429.187824074077</v>
      </c>
      <c r="D55" s="3">
        <v>44436.187824074077</v>
      </c>
      <c r="E55">
        <v>8852</v>
      </c>
      <c r="F55">
        <v>91238</v>
      </c>
      <c r="G55">
        <v>3774</v>
      </c>
      <c r="H55" s="1">
        <v>4.1399999999999999E-2</v>
      </c>
      <c r="I55">
        <v>40070</v>
      </c>
      <c r="J55" s="7">
        <f t="shared" si="0"/>
        <v>3.5266606416629012</v>
      </c>
      <c r="K55" t="s">
        <v>14</v>
      </c>
      <c r="L55" t="s">
        <v>18</v>
      </c>
      <c r="M55" t="s">
        <v>26</v>
      </c>
    </row>
    <row r="56" spans="1:13">
      <c r="A56">
        <v>55</v>
      </c>
      <c r="B56" t="s">
        <v>13</v>
      </c>
      <c r="C56" s="3">
        <v>44360.626388888893</v>
      </c>
      <c r="D56" s="3">
        <v>44367.626388888893</v>
      </c>
      <c r="E56">
        <v>2695</v>
      </c>
      <c r="F56">
        <v>56082</v>
      </c>
      <c r="G56">
        <v>3223</v>
      </c>
      <c r="H56" s="1">
        <v>5.7500000000000002E-2</v>
      </c>
      <c r="I56">
        <v>8598</v>
      </c>
      <c r="J56" s="7">
        <f t="shared" si="0"/>
        <v>2.1903525046382191</v>
      </c>
      <c r="K56" t="s">
        <v>25</v>
      </c>
      <c r="L56" t="s">
        <v>15</v>
      </c>
      <c r="M56" t="s">
        <v>24</v>
      </c>
    </row>
    <row r="57" spans="1:13">
      <c r="A57">
        <v>56</v>
      </c>
      <c r="B57" t="s">
        <v>17</v>
      </c>
      <c r="C57" s="3">
        <v>44464.106840277767</v>
      </c>
      <c r="D57" s="3">
        <v>44492.652083333327</v>
      </c>
      <c r="E57">
        <v>5180</v>
      </c>
      <c r="F57">
        <v>75305</v>
      </c>
      <c r="G57">
        <v>1938</v>
      </c>
      <c r="H57" s="1">
        <v>2.5700000000000001E-2</v>
      </c>
      <c r="I57">
        <v>24078</v>
      </c>
      <c r="J57" s="7">
        <f t="shared" si="0"/>
        <v>3.6482625482625481</v>
      </c>
      <c r="K57" t="s">
        <v>22</v>
      </c>
      <c r="L57" t="s">
        <v>18</v>
      </c>
      <c r="M57" t="s">
        <v>16</v>
      </c>
    </row>
    <row r="58" spans="1:13">
      <c r="A58">
        <v>57</v>
      </c>
      <c r="B58" t="s">
        <v>17</v>
      </c>
      <c r="C58" s="3">
        <v>44308.255960648137</v>
      </c>
      <c r="D58" s="3">
        <v>44511.298449074071</v>
      </c>
      <c r="E58">
        <v>7099</v>
      </c>
      <c r="F58">
        <v>23036</v>
      </c>
      <c r="G58">
        <v>1568</v>
      </c>
      <c r="H58" s="1">
        <v>6.8099999999999994E-2</v>
      </c>
      <c r="I58">
        <v>6376</v>
      </c>
      <c r="J58" s="7">
        <f t="shared" si="0"/>
        <v>-0.10184533032821524</v>
      </c>
      <c r="K58" t="s">
        <v>19</v>
      </c>
      <c r="L58" t="s">
        <v>15</v>
      </c>
      <c r="M58" t="s">
        <v>24</v>
      </c>
    </row>
    <row r="59" spans="1:13">
      <c r="A59">
        <v>58</v>
      </c>
      <c r="B59" t="s">
        <v>17</v>
      </c>
      <c r="C59" s="3">
        <v>44332.191377314812</v>
      </c>
      <c r="D59" s="3">
        <v>44339.191377314812</v>
      </c>
      <c r="E59">
        <v>9803</v>
      </c>
      <c r="F59">
        <v>39212</v>
      </c>
      <c r="G59">
        <v>4836</v>
      </c>
      <c r="H59" s="1">
        <v>0.12330000000000001</v>
      </c>
      <c r="I59">
        <v>13546</v>
      </c>
      <c r="J59" s="7">
        <f t="shared" si="0"/>
        <v>0.38182189125777821</v>
      </c>
      <c r="K59" t="s">
        <v>14</v>
      </c>
      <c r="L59" t="s">
        <v>18</v>
      </c>
      <c r="M59" t="s">
        <v>20</v>
      </c>
    </row>
    <row r="60" spans="1:13">
      <c r="A60">
        <v>59</v>
      </c>
      <c r="B60" t="s">
        <v>23</v>
      </c>
      <c r="C60" s="3">
        <v>44246.717187499999</v>
      </c>
      <c r="D60" s="3">
        <v>44340.032465277778</v>
      </c>
      <c r="E60">
        <v>3585</v>
      </c>
      <c r="F60">
        <v>83032</v>
      </c>
      <c r="G60">
        <v>3566</v>
      </c>
      <c r="H60" s="1">
        <v>4.2900000000000001E-2</v>
      </c>
      <c r="I60">
        <v>2522</v>
      </c>
      <c r="J60" s="7">
        <f t="shared" si="0"/>
        <v>-0.29651324965132497</v>
      </c>
      <c r="K60" t="s">
        <v>14</v>
      </c>
      <c r="L60" t="s">
        <v>15</v>
      </c>
      <c r="M60" t="s">
        <v>20</v>
      </c>
    </row>
    <row r="61" spans="1:13">
      <c r="A61">
        <v>60</v>
      </c>
      <c r="B61" t="s">
        <v>23</v>
      </c>
      <c r="C61" s="3">
        <v>44200.95653935185</v>
      </c>
      <c r="D61" s="3">
        <v>44430.724999999999</v>
      </c>
      <c r="E61">
        <v>6213</v>
      </c>
      <c r="F61">
        <v>35735</v>
      </c>
      <c r="G61">
        <v>4143</v>
      </c>
      <c r="H61" s="1">
        <v>0.1159</v>
      </c>
      <c r="I61">
        <v>12202</v>
      </c>
      <c r="J61" s="7">
        <f t="shared" si="0"/>
        <v>0.9639465636568485</v>
      </c>
      <c r="K61" t="s">
        <v>27</v>
      </c>
      <c r="L61" t="s">
        <v>18</v>
      </c>
      <c r="M61" t="s">
        <v>16</v>
      </c>
    </row>
    <row r="62" spans="1:13">
      <c r="A62">
        <v>61</v>
      </c>
      <c r="B62" t="s">
        <v>13</v>
      </c>
      <c r="C62" s="3">
        <v>44463.966493055559</v>
      </c>
      <c r="D62" s="3">
        <v>44470.966493055559</v>
      </c>
      <c r="E62">
        <v>5740</v>
      </c>
      <c r="F62">
        <v>83570</v>
      </c>
      <c r="G62">
        <v>4523</v>
      </c>
      <c r="H62" s="1">
        <v>5.4100000000000002E-2</v>
      </c>
      <c r="I62">
        <v>12909</v>
      </c>
      <c r="J62" s="7">
        <f t="shared" si="0"/>
        <v>1.2489547038327526</v>
      </c>
      <c r="K62" t="s">
        <v>19</v>
      </c>
      <c r="L62" t="s">
        <v>18</v>
      </c>
      <c r="M62" t="s">
        <v>20</v>
      </c>
    </row>
    <row r="63" spans="1:13">
      <c r="A63">
        <v>62</v>
      </c>
      <c r="B63" t="s">
        <v>13</v>
      </c>
      <c r="C63" s="3">
        <v>44260.124918981477</v>
      </c>
      <c r="D63" s="3">
        <v>44408.693738425929</v>
      </c>
      <c r="E63">
        <v>1232</v>
      </c>
      <c r="F63">
        <v>2384</v>
      </c>
      <c r="G63">
        <v>2384</v>
      </c>
      <c r="H63" s="1">
        <v>1</v>
      </c>
      <c r="I63">
        <v>2120</v>
      </c>
      <c r="J63" s="7">
        <f t="shared" si="0"/>
        <v>0.72077922077922074</v>
      </c>
      <c r="K63" t="s">
        <v>19</v>
      </c>
      <c r="L63" t="s">
        <v>15</v>
      </c>
      <c r="M63" t="s">
        <v>16</v>
      </c>
    </row>
    <row r="64" spans="1:13">
      <c r="A64">
        <v>63</v>
      </c>
      <c r="B64" t="s">
        <v>13</v>
      </c>
      <c r="C64" s="3">
        <v>44273.437777777777</v>
      </c>
      <c r="D64" s="3">
        <v>44509.02480324074</v>
      </c>
      <c r="E64">
        <v>5528</v>
      </c>
      <c r="F64">
        <v>80403</v>
      </c>
      <c r="G64">
        <v>3087</v>
      </c>
      <c r="H64" s="1">
        <v>3.8399999999999997E-2</v>
      </c>
      <c r="I64">
        <v>23379</v>
      </c>
      <c r="J64" s="7">
        <f t="shared" si="0"/>
        <v>3.2291968162083937</v>
      </c>
      <c r="K64" t="s">
        <v>14</v>
      </c>
      <c r="L64" t="s">
        <v>18</v>
      </c>
      <c r="M64" t="s">
        <v>20</v>
      </c>
    </row>
    <row r="65" spans="1:13">
      <c r="A65">
        <v>64</v>
      </c>
      <c r="B65" t="s">
        <v>17</v>
      </c>
      <c r="C65" s="3">
        <v>44230.839317129627</v>
      </c>
      <c r="D65" s="3">
        <v>44483.288495370369</v>
      </c>
      <c r="E65">
        <v>8973</v>
      </c>
      <c r="F65">
        <v>66599</v>
      </c>
      <c r="G65">
        <v>4790</v>
      </c>
      <c r="H65" s="1">
        <v>7.1900000000000006E-2</v>
      </c>
      <c r="I65">
        <v>18891</v>
      </c>
      <c r="J65" s="7">
        <f t="shared" si="0"/>
        <v>1.1053159478435306</v>
      </c>
      <c r="K65" t="s">
        <v>19</v>
      </c>
      <c r="L65" t="s">
        <v>15</v>
      </c>
      <c r="M65" t="s">
        <v>24</v>
      </c>
    </row>
    <row r="66" spans="1:13">
      <c r="A66">
        <v>65</v>
      </c>
      <c r="B66" t="s">
        <v>17</v>
      </c>
      <c r="C66" s="3">
        <v>44363.592592592591</v>
      </c>
      <c r="D66" s="3">
        <v>44478.290196759262</v>
      </c>
      <c r="E66">
        <v>8094</v>
      </c>
      <c r="F66">
        <v>70524</v>
      </c>
      <c r="G66">
        <v>3563</v>
      </c>
      <c r="H66" s="1">
        <v>5.0500000000000003E-2</v>
      </c>
      <c r="I66">
        <v>14279</v>
      </c>
      <c r="J66" s="7">
        <f t="shared" si="0"/>
        <v>0.76414628119594763</v>
      </c>
      <c r="K66" t="s">
        <v>19</v>
      </c>
      <c r="L66" t="s">
        <v>15</v>
      </c>
      <c r="M66" t="s">
        <v>21</v>
      </c>
    </row>
    <row r="67" spans="1:13">
      <c r="A67">
        <v>66</v>
      </c>
      <c r="B67" t="s">
        <v>23</v>
      </c>
      <c r="C67" s="3">
        <v>44296.788726851853</v>
      </c>
      <c r="D67" s="3">
        <v>44303.788726851853</v>
      </c>
      <c r="E67">
        <v>5066</v>
      </c>
      <c r="F67">
        <v>52654</v>
      </c>
      <c r="G67">
        <v>3392</v>
      </c>
      <c r="H67" s="1">
        <v>6.4399999999999999E-2</v>
      </c>
      <c r="I67">
        <v>14904</v>
      </c>
      <c r="J67" s="7">
        <f t="shared" ref="J67:J106" si="1">(I67-E67)/E67</f>
        <v>1.9419660481642322</v>
      </c>
      <c r="K67" t="s">
        <v>14</v>
      </c>
      <c r="L67" t="s">
        <v>18</v>
      </c>
      <c r="M67" t="s">
        <v>26</v>
      </c>
    </row>
    <row r="68" spans="1:13">
      <c r="A68">
        <v>67</v>
      </c>
      <c r="B68" t="s">
        <v>23</v>
      </c>
      <c r="C68" s="3">
        <v>44313.739652777767</v>
      </c>
      <c r="D68" s="3">
        <v>44355.824259259258</v>
      </c>
      <c r="E68">
        <v>7944</v>
      </c>
      <c r="F68">
        <v>63729</v>
      </c>
      <c r="G68">
        <v>2981</v>
      </c>
      <c r="H68" s="1">
        <v>4.6800000000000001E-2</v>
      </c>
      <c r="I68">
        <v>9009</v>
      </c>
      <c r="J68" s="7">
        <f t="shared" si="1"/>
        <v>0.13406344410876134</v>
      </c>
      <c r="K68" t="s">
        <v>14</v>
      </c>
      <c r="L68" t="s">
        <v>18</v>
      </c>
      <c r="M68" t="s">
        <v>26</v>
      </c>
    </row>
    <row r="69" spans="1:13">
      <c r="A69">
        <v>68</v>
      </c>
      <c r="B69" t="s">
        <v>13</v>
      </c>
      <c r="C69" s="3">
        <v>44355.748182870368</v>
      </c>
      <c r="D69" s="3">
        <v>44362.748182870368</v>
      </c>
      <c r="E69">
        <v>3896</v>
      </c>
      <c r="F69">
        <v>53668</v>
      </c>
      <c r="G69">
        <v>3008</v>
      </c>
      <c r="H69" s="1">
        <v>5.6000000000000001E-2</v>
      </c>
      <c r="I69">
        <v>16012</v>
      </c>
      <c r="J69" s="7">
        <f t="shared" si="1"/>
        <v>3.1098562628336754</v>
      </c>
      <c r="K69" t="s">
        <v>25</v>
      </c>
      <c r="L69" t="s">
        <v>18</v>
      </c>
      <c r="M69" t="s">
        <v>21</v>
      </c>
    </row>
    <row r="70" spans="1:13">
      <c r="A70">
        <v>69</v>
      </c>
      <c r="B70" t="s">
        <v>13</v>
      </c>
      <c r="C70" s="3">
        <v>44206.872002314813</v>
      </c>
      <c r="D70" s="3">
        <v>44248.062037037038</v>
      </c>
      <c r="E70">
        <v>5847</v>
      </c>
      <c r="F70">
        <v>20055</v>
      </c>
      <c r="G70">
        <v>434</v>
      </c>
      <c r="H70" s="1">
        <v>2.1600000000000001E-2</v>
      </c>
      <c r="I70">
        <v>4885</v>
      </c>
      <c r="J70" s="7">
        <f t="shared" si="1"/>
        <v>-0.16452881819736617</v>
      </c>
      <c r="K70" t="s">
        <v>25</v>
      </c>
      <c r="L70" t="s">
        <v>15</v>
      </c>
      <c r="M70" t="s">
        <v>21</v>
      </c>
    </row>
    <row r="71" spans="1:13">
      <c r="A71">
        <v>70</v>
      </c>
      <c r="B71" t="s">
        <v>17</v>
      </c>
      <c r="C71" s="3">
        <v>44360.19971064815</v>
      </c>
      <c r="D71" s="3">
        <v>44487.641724537039</v>
      </c>
      <c r="E71">
        <v>7534</v>
      </c>
      <c r="F71">
        <v>47499</v>
      </c>
      <c r="G71">
        <v>841</v>
      </c>
      <c r="H71" s="1">
        <v>1.77E-2</v>
      </c>
      <c r="I71">
        <v>37225</v>
      </c>
      <c r="J71" s="7">
        <f t="shared" si="1"/>
        <v>3.9409344305813643</v>
      </c>
      <c r="K71" t="s">
        <v>25</v>
      </c>
      <c r="L71" t="s">
        <v>15</v>
      </c>
      <c r="M71" t="s">
        <v>16</v>
      </c>
    </row>
    <row r="72" spans="1:13">
      <c r="A72">
        <v>71</v>
      </c>
      <c r="B72" t="s">
        <v>23</v>
      </c>
      <c r="C72" s="3">
        <v>44440.012696759259</v>
      </c>
      <c r="D72" s="3">
        <v>44447.012696759259</v>
      </c>
      <c r="E72">
        <v>1095</v>
      </c>
      <c r="F72">
        <v>92980</v>
      </c>
      <c r="G72">
        <v>1343</v>
      </c>
      <c r="H72" s="1">
        <v>1.44E-2</v>
      </c>
      <c r="I72">
        <v>4352</v>
      </c>
      <c r="J72" s="7">
        <f t="shared" si="1"/>
        <v>2.9744292237442922</v>
      </c>
      <c r="K72" t="s">
        <v>25</v>
      </c>
      <c r="L72" t="s">
        <v>18</v>
      </c>
      <c r="M72" t="s">
        <v>20</v>
      </c>
    </row>
    <row r="73" spans="1:13">
      <c r="A73">
        <v>72</v>
      </c>
      <c r="B73" t="s">
        <v>23</v>
      </c>
      <c r="C73" s="3">
        <v>44203.228148148148</v>
      </c>
      <c r="D73" s="3">
        <v>44406.326041666667</v>
      </c>
      <c r="E73">
        <v>1147</v>
      </c>
      <c r="F73">
        <v>88314</v>
      </c>
      <c r="G73">
        <v>200</v>
      </c>
      <c r="H73" s="1">
        <v>2.3E-3</v>
      </c>
      <c r="I73">
        <v>1599</v>
      </c>
      <c r="J73" s="7">
        <f t="shared" si="1"/>
        <v>0.39407149084568438</v>
      </c>
      <c r="K73" t="s">
        <v>19</v>
      </c>
      <c r="L73" t="s">
        <v>15</v>
      </c>
      <c r="M73" t="s">
        <v>24</v>
      </c>
    </row>
    <row r="74" spans="1:13">
      <c r="A74">
        <v>73</v>
      </c>
      <c r="B74" t="s">
        <v>17</v>
      </c>
      <c r="C74" s="3">
        <v>44274.396874999999</v>
      </c>
      <c r="D74" s="3">
        <v>44347.335312499999</v>
      </c>
      <c r="E74">
        <v>1073</v>
      </c>
      <c r="F74">
        <v>37209</v>
      </c>
      <c r="G74">
        <v>2563</v>
      </c>
      <c r="H74" s="1">
        <v>6.8900000000000003E-2</v>
      </c>
      <c r="I74">
        <v>563</v>
      </c>
      <c r="J74" s="7">
        <f t="shared" si="1"/>
        <v>-0.47530288909599255</v>
      </c>
      <c r="K74" t="s">
        <v>27</v>
      </c>
      <c r="L74" t="s">
        <v>18</v>
      </c>
      <c r="M74" t="s">
        <v>26</v>
      </c>
    </row>
    <row r="75" spans="1:13">
      <c r="A75">
        <v>74</v>
      </c>
      <c r="B75" t="s">
        <v>13</v>
      </c>
      <c r="C75" s="3">
        <v>44346.581412037027</v>
      </c>
      <c r="D75" s="3">
        <v>44353.581412037027</v>
      </c>
      <c r="E75">
        <v>7297</v>
      </c>
      <c r="F75">
        <v>9010</v>
      </c>
      <c r="G75">
        <v>2369</v>
      </c>
      <c r="H75" s="1">
        <v>0.26290000000000002</v>
      </c>
      <c r="I75">
        <v>30425</v>
      </c>
      <c r="J75" s="7">
        <f t="shared" si="1"/>
        <v>3.1695217212553106</v>
      </c>
      <c r="K75" t="s">
        <v>14</v>
      </c>
      <c r="L75" t="s">
        <v>15</v>
      </c>
      <c r="M75" t="s">
        <v>21</v>
      </c>
    </row>
    <row r="76" spans="1:13">
      <c r="A76">
        <v>75</v>
      </c>
      <c r="B76" t="s">
        <v>23</v>
      </c>
      <c r="C76" s="3">
        <v>44548.834340277783</v>
      </c>
      <c r="D76" s="3">
        <v>44555.834340277783</v>
      </c>
      <c r="E76">
        <v>6137</v>
      </c>
      <c r="F76">
        <v>60618</v>
      </c>
      <c r="G76">
        <v>274</v>
      </c>
      <c r="H76" s="1">
        <v>4.4999999999999997E-3</v>
      </c>
      <c r="I76">
        <v>22589</v>
      </c>
      <c r="J76" s="7">
        <f t="shared" si="1"/>
        <v>2.6807886589538863</v>
      </c>
      <c r="K76" t="s">
        <v>14</v>
      </c>
      <c r="L76" t="s">
        <v>18</v>
      </c>
      <c r="M76" t="s">
        <v>21</v>
      </c>
    </row>
    <row r="77" spans="1:13">
      <c r="A77">
        <v>76</v>
      </c>
      <c r="B77" t="s">
        <v>23</v>
      </c>
      <c r="C77" s="3">
        <v>44273.564467592587</v>
      </c>
      <c r="D77" s="3">
        <v>44280.564467592587</v>
      </c>
      <c r="E77">
        <v>8948</v>
      </c>
      <c r="F77">
        <v>80073</v>
      </c>
      <c r="G77">
        <v>705</v>
      </c>
      <c r="H77" s="1">
        <v>8.8000000000000005E-3</v>
      </c>
      <c r="I77">
        <v>33828</v>
      </c>
      <c r="J77" s="7">
        <f t="shared" si="1"/>
        <v>2.7805096110862761</v>
      </c>
      <c r="K77" t="s">
        <v>22</v>
      </c>
      <c r="L77" t="s">
        <v>15</v>
      </c>
      <c r="M77" t="s">
        <v>21</v>
      </c>
    </row>
    <row r="78" spans="1:13">
      <c r="A78">
        <v>77</v>
      </c>
      <c r="B78" t="s">
        <v>23</v>
      </c>
      <c r="C78" s="3">
        <v>44469.570023148153</v>
      </c>
      <c r="D78" s="3">
        <v>44476.570023148153</v>
      </c>
      <c r="E78">
        <v>5759</v>
      </c>
      <c r="F78">
        <v>52115</v>
      </c>
      <c r="G78">
        <v>3845</v>
      </c>
      <c r="H78" s="1">
        <v>7.3800000000000004E-2</v>
      </c>
      <c r="I78">
        <v>22867</v>
      </c>
      <c r="J78" s="7">
        <f t="shared" si="1"/>
        <v>2.9706546275395036</v>
      </c>
      <c r="K78" t="s">
        <v>27</v>
      </c>
      <c r="L78" t="s">
        <v>18</v>
      </c>
      <c r="M78" t="s">
        <v>20</v>
      </c>
    </row>
    <row r="79" spans="1:13">
      <c r="A79">
        <v>78</v>
      </c>
      <c r="B79" t="s">
        <v>23</v>
      </c>
      <c r="C79" s="3">
        <v>44206.966331018521</v>
      </c>
      <c r="D79" s="3">
        <v>44404.439606481479</v>
      </c>
      <c r="E79">
        <v>9720</v>
      </c>
      <c r="F79">
        <v>72299</v>
      </c>
      <c r="G79">
        <v>4976</v>
      </c>
      <c r="H79" s="1">
        <v>6.88E-2</v>
      </c>
      <c r="I79">
        <v>8098</v>
      </c>
      <c r="J79" s="7">
        <f t="shared" si="1"/>
        <v>-0.1668724279835391</v>
      </c>
      <c r="K79" t="s">
        <v>27</v>
      </c>
      <c r="L79" t="s">
        <v>18</v>
      </c>
      <c r="M79" t="s">
        <v>24</v>
      </c>
    </row>
    <row r="80" spans="1:13">
      <c r="A80">
        <v>79</v>
      </c>
      <c r="B80" t="s">
        <v>23</v>
      </c>
      <c r="C80" s="3">
        <v>44278.897719907407</v>
      </c>
      <c r="D80" s="3">
        <v>44489.526701388888</v>
      </c>
      <c r="E80">
        <v>7067</v>
      </c>
      <c r="F80">
        <v>20340</v>
      </c>
      <c r="G80">
        <v>3908</v>
      </c>
      <c r="H80" s="1">
        <v>0.19209999999999999</v>
      </c>
      <c r="I80">
        <v>14933</v>
      </c>
      <c r="J80" s="7">
        <f t="shared" si="1"/>
        <v>1.1130607046837413</v>
      </c>
      <c r="K80" t="s">
        <v>14</v>
      </c>
      <c r="L80" t="s">
        <v>15</v>
      </c>
      <c r="M80" t="s">
        <v>21</v>
      </c>
    </row>
    <row r="81" spans="1:13">
      <c r="A81">
        <v>80</v>
      </c>
      <c r="B81" t="s">
        <v>17</v>
      </c>
      <c r="C81" s="3">
        <v>44444.165393518517</v>
      </c>
      <c r="D81" s="3">
        <v>44451.165393518517</v>
      </c>
      <c r="E81">
        <v>4944</v>
      </c>
      <c r="F81">
        <v>73932</v>
      </c>
      <c r="G81">
        <v>1869</v>
      </c>
      <c r="H81" s="1">
        <v>2.53E-2</v>
      </c>
      <c r="I81">
        <v>5049</v>
      </c>
      <c r="J81" s="7">
        <f t="shared" si="1"/>
        <v>2.1237864077669904E-2</v>
      </c>
      <c r="K81" t="s">
        <v>27</v>
      </c>
      <c r="L81" t="s">
        <v>15</v>
      </c>
      <c r="M81" t="s">
        <v>24</v>
      </c>
    </row>
    <row r="82" spans="1:13">
      <c r="A82">
        <v>81</v>
      </c>
      <c r="B82" t="s">
        <v>17</v>
      </c>
      <c r="C82" s="3">
        <v>44400.884108796286</v>
      </c>
      <c r="D82" s="3">
        <v>44481.71875</v>
      </c>
      <c r="E82">
        <v>3489</v>
      </c>
      <c r="F82">
        <v>54121</v>
      </c>
      <c r="G82">
        <v>948</v>
      </c>
      <c r="H82" s="1">
        <v>1.7500000000000002E-2</v>
      </c>
      <c r="I82">
        <v>15295</v>
      </c>
      <c r="J82" s="7">
        <f t="shared" si="1"/>
        <v>3.3837775867010604</v>
      </c>
      <c r="K82" t="s">
        <v>22</v>
      </c>
      <c r="L82" t="s">
        <v>18</v>
      </c>
      <c r="M82" t="s">
        <v>26</v>
      </c>
    </row>
    <row r="83" spans="1:13">
      <c r="A83">
        <v>82</v>
      </c>
      <c r="B83" t="s">
        <v>17</v>
      </c>
      <c r="C83" s="3">
        <v>44254.487986111111</v>
      </c>
      <c r="D83" s="3">
        <v>44329.252013888887</v>
      </c>
      <c r="E83">
        <v>1086</v>
      </c>
      <c r="F83">
        <v>15705</v>
      </c>
      <c r="G83">
        <v>1190</v>
      </c>
      <c r="H83" s="1">
        <v>7.5800000000000006E-2</v>
      </c>
      <c r="I83">
        <v>3589</v>
      </c>
      <c r="J83" s="7">
        <f t="shared" si="1"/>
        <v>2.3047882136279925</v>
      </c>
      <c r="K83" t="s">
        <v>19</v>
      </c>
      <c r="L83" t="s">
        <v>15</v>
      </c>
      <c r="M83" t="s">
        <v>16</v>
      </c>
    </row>
    <row r="84" spans="1:13">
      <c r="A84">
        <v>83</v>
      </c>
      <c r="B84" t="s">
        <v>13</v>
      </c>
      <c r="C84" s="3">
        <v>44206.470104166663</v>
      </c>
      <c r="D84" s="3">
        <v>44549.699930555558</v>
      </c>
      <c r="E84">
        <v>5602</v>
      </c>
      <c r="F84">
        <v>57448</v>
      </c>
      <c r="G84">
        <v>2273</v>
      </c>
      <c r="H84" s="1">
        <v>3.9600000000000003E-2</v>
      </c>
      <c r="I84">
        <v>11142</v>
      </c>
      <c r="J84" s="7">
        <f t="shared" si="1"/>
        <v>0.98893252409853627</v>
      </c>
      <c r="K84" t="s">
        <v>25</v>
      </c>
      <c r="L84" t="s">
        <v>18</v>
      </c>
      <c r="M84" t="s">
        <v>16</v>
      </c>
    </row>
    <row r="85" spans="1:13">
      <c r="A85">
        <v>84</v>
      </c>
      <c r="B85" t="s">
        <v>23</v>
      </c>
      <c r="C85" s="3">
        <v>44477.067418981482</v>
      </c>
      <c r="D85" s="3">
        <v>44484.067418981482</v>
      </c>
      <c r="E85">
        <v>8101</v>
      </c>
      <c r="F85">
        <v>87823</v>
      </c>
      <c r="G85">
        <v>1262</v>
      </c>
      <c r="H85" s="1">
        <v>1.44E-2</v>
      </c>
      <c r="I85">
        <v>6367</v>
      </c>
      <c r="J85" s="7">
        <f t="shared" si="1"/>
        <v>-0.21404764843846438</v>
      </c>
      <c r="K85" t="s">
        <v>22</v>
      </c>
      <c r="L85" t="s">
        <v>18</v>
      </c>
      <c r="M85" t="s">
        <v>26</v>
      </c>
    </row>
    <row r="86" spans="1:13">
      <c r="A86">
        <v>85</v>
      </c>
      <c r="B86" t="s">
        <v>17</v>
      </c>
      <c r="C86" s="3">
        <v>44409.812847222223</v>
      </c>
      <c r="D86" s="3">
        <v>44498.689386574071</v>
      </c>
      <c r="E86">
        <v>1239</v>
      </c>
      <c r="F86">
        <v>26274</v>
      </c>
      <c r="G86">
        <v>4820</v>
      </c>
      <c r="H86" s="1">
        <v>0.1835</v>
      </c>
      <c r="I86">
        <v>2353</v>
      </c>
      <c r="J86" s="7">
        <f t="shared" si="1"/>
        <v>0.89911218724778041</v>
      </c>
      <c r="K86" t="s">
        <v>25</v>
      </c>
      <c r="L86" t="s">
        <v>15</v>
      </c>
      <c r="M86" t="s">
        <v>16</v>
      </c>
    </row>
    <row r="87" spans="1:13">
      <c r="A87">
        <v>86</v>
      </c>
      <c r="B87" t="s">
        <v>23</v>
      </c>
      <c r="C87" s="3">
        <v>44273.762685185182</v>
      </c>
      <c r="D87" s="3">
        <v>44363.423831018517</v>
      </c>
      <c r="E87">
        <v>5382</v>
      </c>
      <c r="F87">
        <v>83212</v>
      </c>
      <c r="G87">
        <v>1279</v>
      </c>
      <c r="H87" s="1">
        <v>1.54E-2</v>
      </c>
      <c r="I87">
        <v>10566</v>
      </c>
      <c r="J87" s="7">
        <f t="shared" si="1"/>
        <v>0.96321070234113715</v>
      </c>
      <c r="K87" t="s">
        <v>14</v>
      </c>
      <c r="L87" t="s">
        <v>18</v>
      </c>
      <c r="M87" t="s">
        <v>21</v>
      </c>
    </row>
    <row r="88" spans="1:13">
      <c r="A88">
        <v>87</v>
      </c>
      <c r="B88" t="s">
        <v>23</v>
      </c>
      <c r="C88" s="3">
        <v>44515.373356481483</v>
      </c>
      <c r="D88" s="3">
        <v>44534.92355324074</v>
      </c>
      <c r="E88">
        <v>5910</v>
      </c>
      <c r="F88">
        <v>32075</v>
      </c>
      <c r="G88">
        <v>796</v>
      </c>
      <c r="H88" s="1">
        <v>2.4799999999999999E-2</v>
      </c>
      <c r="I88">
        <v>22358</v>
      </c>
      <c r="J88" s="7">
        <f t="shared" si="1"/>
        <v>2.7830795262267345</v>
      </c>
      <c r="K88" t="s">
        <v>19</v>
      </c>
      <c r="L88" t="s">
        <v>15</v>
      </c>
      <c r="M88" t="s">
        <v>20</v>
      </c>
    </row>
    <row r="89" spans="1:13">
      <c r="A89">
        <v>88</v>
      </c>
      <c r="B89" t="s">
        <v>23</v>
      </c>
      <c r="C89" s="3">
        <v>44522.559444444443</v>
      </c>
      <c r="D89" s="3">
        <v>44529.559444444443</v>
      </c>
      <c r="E89">
        <v>937</v>
      </c>
      <c r="F89">
        <v>54251</v>
      </c>
      <c r="G89">
        <v>4517</v>
      </c>
      <c r="H89" s="1">
        <v>8.3299999999999999E-2</v>
      </c>
      <c r="I89">
        <v>3156</v>
      </c>
      <c r="J89" s="7">
        <f t="shared" si="1"/>
        <v>2.3681963713980791</v>
      </c>
      <c r="K89" t="s">
        <v>22</v>
      </c>
      <c r="L89" t="s">
        <v>18</v>
      </c>
      <c r="M89" t="s">
        <v>16</v>
      </c>
    </row>
    <row r="90" spans="1:13">
      <c r="A90">
        <v>89</v>
      </c>
      <c r="B90" t="s">
        <v>23</v>
      </c>
      <c r="C90" s="3">
        <v>44467.852476851847</v>
      </c>
      <c r="D90" s="3">
        <v>44474.852476851847</v>
      </c>
      <c r="E90">
        <v>4398</v>
      </c>
      <c r="F90">
        <v>71882</v>
      </c>
      <c r="G90">
        <v>2596</v>
      </c>
      <c r="H90" s="1">
        <v>3.61E-2</v>
      </c>
      <c r="I90">
        <v>19757</v>
      </c>
      <c r="J90" s="7">
        <f t="shared" si="1"/>
        <v>3.4922692132787629</v>
      </c>
      <c r="K90" t="s">
        <v>27</v>
      </c>
      <c r="L90" t="s">
        <v>15</v>
      </c>
      <c r="M90" t="s">
        <v>26</v>
      </c>
    </row>
    <row r="91" spans="1:13">
      <c r="A91">
        <v>90</v>
      </c>
      <c r="B91" t="s">
        <v>13</v>
      </c>
      <c r="C91" s="3">
        <v>44540.878958333327</v>
      </c>
      <c r="D91" s="3">
        <v>44547.878958333327</v>
      </c>
      <c r="E91">
        <v>2347</v>
      </c>
      <c r="F91">
        <v>24417</v>
      </c>
      <c r="G91">
        <v>2857</v>
      </c>
      <c r="H91" s="1">
        <v>0.11700000000000001</v>
      </c>
      <c r="I91">
        <v>6160</v>
      </c>
      <c r="J91" s="7">
        <f t="shared" si="1"/>
        <v>1.6246271836386876</v>
      </c>
      <c r="K91" t="s">
        <v>19</v>
      </c>
      <c r="L91" t="s">
        <v>18</v>
      </c>
      <c r="M91" t="s">
        <v>20</v>
      </c>
    </row>
    <row r="92" spans="1:13">
      <c r="A92">
        <v>91</v>
      </c>
      <c r="B92" t="s">
        <v>17</v>
      </c>
      <c r="C92" s="3">
        <v>44554.70275462963</v>
      </c>
      <c r="D92" s="3">
        <v>44561.70275462963</v>
      </c>
      <c r="E92">
        <v>1520</v>
      </c>
      <c r="F92">
        <v>97700</v>
      </c>
      <c r="G92">
        <v>4028</v>
      </c>
      <c r="H92" s="1">
        <v>4.1200000000000001E-2</v>
      </c>
      <c r="I92">
        <v>1578</v>
      </c>
      <c r="J92" s="7">
        <f t="shared" si="1"/>
        <v>3.8157894736842106E-2</v>
      </c>
      <c r="K92" t="s">
        <v>22</v>
      </c>
      <c r="L92" t="s">
        <v>15</v>
      </c>
      <c r="M92" t="s">
        <v>26</v>
      </c>
    </row>
    <row r="93" spans="1:13">
      <c r="A93">
        <v>92</v>
      </c>
      <c r="B93" t="s">
        <v>17</v>
      </c>
      <c r="C93" s="3">
        <v>44492.601331018523</v>
      </c>
      <c r="D93" s="3">
        <v>44499.601331018523</v>
      </c>
      <c r="E93">
        <v>7430</v>
      </c>
      <c r="F93">
        <v>14729</v>
      </c>
      <c r="G93">
        <v>4147</v>
      </c>
      <c r="H93" s="1">
        <v>0.28160000000000002</v>
      </c>
      <c r="I93">
        <v>27562</v>
      </c>
      <c r="J93" s="7">
        <f t="shared" si="1"/>
        <v>2.7095558546433378</v>
      </c>
      <c r="K93" t="s">
        <v>19</v>
      </c>
      <c r="L93" t="s">
        <v>18</v>
      </c>
      <c r="M93" t="s">
        <v>21</v>
      </c>
    </row>
    <row r="94" spans="1:13">
      <c r="A94">
        <v>93</v>
      </c>
      <c r="B94" t="s">
        <v>13</v>
      </c>
      <c r="C94" s="3">
        <v>44240.643657407411</v>
      </c>
      <c r="D94" s="3">
        <v>44247.643657407411</v>
      </c>
      <c r="E94">
        <v>1441</v>
      </c>
      <c r="F94">
        <v>24836</v>
      </c>
      <c r="G94">
        <v>2151</v>
      </c>
      <c r="H94" s="1">
        <v>8.6599999999999996E-2</v>
      </c>
      <c r="I94">
        <v>5653</v>
      </c>
      <c r="J94" s="7">
        <f t="shared" si="1"/>
        <v>2.9229701596113808</v>
      </c>
      <c r="K94" t="s">
        <v>14</v>
      </c>
      <c r="L94" t="s">
        <v>15</v>
      </c>
      <c r="M94" t="s">
        <v>26</v>
      </c>
    </row>
    <row r="95" spans="1:13">
      <c r="A95">
        <v>94</v>
      </c>
      <c r="B95" t="s">
        <v>23</v>
      </c>
      <c r="C95" s="3">
        <v>44327.270520833343</v>
      </c>
      <c r="D95" s="3">
        <v>44430.413680555554</v>
      </c>
      <c r="E95">
        <v>9141</v>
      </c>
      <c r="F95">
        <v>57132</v>
      </c>
      <c r="G95">
        <v>3410</v>
      </c>
      <c r="H95" s="1">
        <v>5.9700000000000003E-2</v>
      </c>
      <c r="I95">
        <v>27658</v>
      </c>
      <c r="J95" s="7">
        <f t="shared" si="1"/>
        <v>2.0257083470079862</v>
      </c>
      <c r="K95" t="s">
        <v>27</v>
      </c>
      <c r="L95" t="s">
        <v>15</v>
      </c>
      <c r="M95" t="s">
        <v>21</v>
      </c>
    </row>
    <row r="96" spans="1:13">
      <c r="A96">
        <v>95</v>
      </c>
      <c r="B96" t="s">
        <v>23</v>
      </c>
      <c r="C96" s="3">
        <v>44486.152870370373</v>
      </c>
      <c r="D96" s="3">
        <v>44492.355520833327</v>
      </c>
      <c r="E96">
        <v>6110</v>
      </c>
      <c r="F96">
        <v>70658</v>
      </c>
      <c r="G96">
        <v>1847</v>
      </c>
      <c r="H96" s="1">
        <v>2.6100000000000002E-2</v>
      </c>
      <c r="I96">
        <v>24252</v>
      </c>
      <c r="J96" s="7">
        <f t="shared" si="1"/>
        <v>2.9692307692307693</v>
      </c>
      <c r="K96" t="s">
        <v>25</v>
      </c>
      <c r="L96" t="s">
        <v>18</v>
      </c>
      <c r="M96" t="s">
        <v>16</v>
      </c>
    </row>
    <row r="97" spans="1:13">
      <c r="A97">
        <v>96</v>
      </c>
      <c r="B97" t="s">
        <v>13</v>
      </c>
      <c r="C97" s="3">
        <v>44550.857800925929</v>
      </c>
      <c r="D97" s="3">
        <v>44557.857800925929</v>
      </c>
      <c r="E97">
        <v>9508</v>
      </c>
      <c r="F97">
        <v>67272</v>
      </c>
      <c r="G97">
        <v>3004</v>
      </c>
      <c r="H97" s="1">
        <v>4.4699999999999997E-2</v>
      </c>
      <c r="I97">
        <v>25881</v>
      </c>
      <c r="J97" s="7">
        <f t="shared" si="1"/>
        <v>1.7220235591081194</v>
      </c>
      <c r="K97" t="s">
        <v>25</v>
      </c>
      <c r="L97" t="s">
        <v>15</v>
      </c>
      <c r="M97" t="s">
        <v>20</v>
      </c>
    </row>
    <row r="98" spans="1:13">
      <c r="A98">
        <v>97</v>
      </c>
      <c r="B98" t="s">
        <v>13</v>
      </c>
      <c r="C98" s="3">
        <v>44227.436643518522</v>
      </c>
      <c r="D98" s="3">
        <v>44237.713726851849</v>
      </c>
      <c r="E98">
        <v>2607</v>
      </c>
      <c r="F98">
        <v>27872</v>
      </c>
      <c r="G98">
        <v>1002</v>
      </c>
      <c r="H98" s="1">
        <v>3.5999999999999997E-2</v>
      </c>
      <c r="I98">
        <v>7435</v>
      </c>
      <c r="J98" s="7">
        <f t="shared" si="1"/>
        <v>1.8519370924434215</v>
      </c>
      <c r="K98" t="s">
        <v>25</v>
      </c>
      <c r="L98" t="s">
        <v>18</v>
      </c>
      <c r="M98" t="s">
        <v>24</v>
      </c>
    </row>
    <row r="99" spans="1:13">
      <c r="A99">
        <v>98</v>
      </c>
      <c r="B99" t="s">
        <v>13</v>
      </c>
      <c r="C99" s="3">
        <v>44556.227905092594</v>
      </c>
      <c r="D99" s="3">
        <v>44563.227905092594</v>
      </c>
      <c r="E99">
        <v>4759</v>
      </c>
      <c r="F99">
        <v>84891</v>
      </c>
      <c r="G99">
        <v>3968</v>
      </c>
      <c r="H99" s="1">
        <v>4.6699999999999998E-2</v>
      </c>
      <c r="I99">
        <v>11535</v>
      </c>
      <c r="J99" s="7">
        <f t="shared" si="1"/>
        <v>1.423828535406598</v>
      </c>
      <c r="K99" t="s">
        <v>22</v>
      </c>
      <c r="L99" t="s">
        <v>18</v>
      </c>
      <c r="M99" t="s">
        <v>20</v>
      </c>
    </row>
    <row r="100" spans="1:13">
      <c r="A100">
        <v>99</v>
      </c>
      <c r="B100" t="s">
        <v>17</v>
      </c>
      <c r="C100" s="3">
        <v>44375.985000000001</v>
      </c>
      <c r="D100" s="3">
        <v>44523.37972222222</v>
      </c>
      <c r="E100">
        <v>1445</v>
      </c>
      <c r="F100">
        <v>12465</v>
      </c>
      <c r="G100">
        <v>4823</v>
      </c>
      <c r="H100" s="1">
        <v>0.38690000000000002</v>
      </c>
      <c r="I100">
        <v>887</v>
      </c>
      <c r="J100" s="7">
        <f t="shared" si="1"/>
        <v>-0.38615916955017299</v>
      </c>
      <c r="K100" t="s">
        <v>19</v>
      </c>
      <c r="L100" t="s">
        <v>15</v>
      </c>
      <c r="M100" t="s">
        <v>24</v>
      </c>
    </row>
    <row r="101" spans="1:13">
      <c r="A101">
        <v>100</v>
      </c>
      <c r="B101" t="s">
        <v>23</v>
      </c>
      <c r="C101" s="3">
        <v>44500.56527777778</v>
      </c>
      <c r="D101" s="3">
        <v>44507.56527777778</v>
      </c>
      <c r="E101">
        <v>8893</v>
      </c>
      <c r="F101">
        <v>80285</v>
      </c>
      <c r="G101">
        <v>704</v>
      </c>
      <c r="H101" s="1">
        <v>8.8000000000000005E-3</v>
      </c>
      <c r="I101">
        <v>8764</v>
      </c>
      <c r="J101" s="7">
        <f t="shared" si="1"/>
        <v>-1.4505791071629371E-2</v>
      </c>
      <c r="K101" t="s">
        <v>27</v>
      </c>
      <c r="L101" t="s">
        <v>15</v>
      </c>
      <c r="M101" t="s">
        <v>16</v>
      </c>
    </row>
    <row r="102" spans="1:13">
      <c r="A102">
        <v>101</v>
      </c>
      <c r="B102" t="s">
        <v>23</v>
      </c>
      <c r="C102" s="3">
        <v>45296</v>
      </c>
      <c r="D102" s="3">
        <v>45332</v>
      </c>
      <c r="E102">
        <v>3657</v>
      </c>
      <c r="F102">
        <v>28047</v>
      </c>
      <c r="G102">
        <v>4302</v>
      </c>
      <c r="H102" s="1">
        <v>0.15340000000000001</v>
      </c>
      <c r="I102">
        <v>2345</v>
      </c>
      <c r="J102" s="7">
        <f t="shared" si="1"/>
        <v>-0.35876401421930543</v>
      </c>
      <c r="K102" t="s">
        <v>19</v>
      </c>
      <c r="L102" t="s">
        <v>18</v>
      </c>
      <c r="M102" t="s">
        <v>20</v>
      </c>
    </row>
    <row r="103" spans="1:13">
      <c r="A103">
        <v>102</v>
      </c>
      <c r="B103" t="s">
        <v>23</v>
      </c>
      <c r="C103" s="3">
        <v>45314</v>
      </c>
      <c r="D103" s="3">
        <v>45350</v>
      </c>
      <c r="E103">
        <v>6415</v>
      </c>
      <c r="F103">
        <v>36105</v>
      </c>
      <c r="G103">
        <v>3237</v>
      </c>
      <c r="H103" s="1">
        <v>8.9700000000000002E-2</v>
      </c>
      <c r="I103">
        <v>21579</v>
      </c>
      <c r="J103" s="7">
        <f t="shared" si="1"/>
        <v>2.3638347622759159</v>
      </c>
      <c r="K103" t="s">
        <v>27</v>
      </c>
      <c r="L103" t="s">
        <v>15</v>
      </c>
      <c r="M103" t="s">
        <v>21</v>
      </c>
    </row>
    <row r="104" spans="1:13">
      <c r="A104">
        <v>103</v>
      </c>
      <c r="B104" t="s">
        <v>13</v>
      </c>
      <c r="C104" s="3">
        <v>45298</v>
      </c>
      <c r="D104" s="3">
        <v>45325</v>
      </c>
      <c r="E104">
        <v>3193</v>
      </c>
      <c r="F104">
        <v>85766</v>
      </c>
      <c r="G104">
        <v>8392</v>
      </c>
      <c r="H104" s="1">
        <v>9.7799999999999998E-2</v>
      </c>
      <c r="I104">
        <v>6113</v>
      </c>
      <c r="J104" s="7">
        <f t="shared" si="1"/>
        <v>0.91450046977763855</v>
      </c>
      <c r="K104" t="s">
        <v>27</v>
      </c>
      <c r="L104" t="s">
        <v>18</v>
      </c>
      <c r="M104" t="s">
        <v>20</v>
      </c>
    </row>
    <row r="105" spans="1:13">
      <c r="A105">
        <v>104</v>
      </c>
      <c r="B105" t="s">
        <v>13</v>
      </c>
      <c r="C105" s="3">
        <v>45304</v>
      </c>
      <c r="D105" s="3">
        <v>45334</v>
      </c>
      <c r="E105">
        <v>4127</v>
      </c>
      <c r="F105">
        <v>25707</v>
      </c>
      <c r="G105">
        <v>6504</v>
      </c>
      <c r="H105" s="1">
        <v>0.253</v>
      </c>
      <c r="I105">
        <v>11508</v>
      </c>
      <c r="J105" s="7">
        <f t="shared" si="1"/>
        <v>1.7884661982069299</v>
      </c>
      <c r="K105" t="s">
        <v>19</v>
      </c>
      <c r="L105" t="s">
        <v>15</v>
      </c>
      <c r="M105" t="s">
        <v>21</v>
      </c>
    </row>
    <row r="106" spans="1:13">
      <c r="A106">
        <v>105</v>
      </c>
      <c r="B106" t="s">
        <v>17</v>
      </c>
      <c r="C106" s="3">
        <v>45306</v>
      </c>
      <c r="D106" s="3">
        <v>45328</v>
      </c>
      <c r="E106">
        <v>5950</v>
      </c>
      <c r="F106">
        <v>31976</v>
      </c>
      <c r="G106">
        <v>6496</v>
      </c>
      <c r="H106" s="1">
        <v>0.20319999999999999</v>
      </c>
      <c r="I106">
        <v>27275</v>
      </c>
      <c r="J106" s="7">
        <f t="shared" si="1"/>
        <v>3.5840336134453783</v>
      </c>
      <c r="K106" t="s">
        <v>14</v>
      </c>
      <c r="L106" t="s">
        <v>18</v>
      </c>
      <c r="M106" t="s">
        <v>16</v>
      </c>
    </row>
  </sheetData>
  <autoFilter ref="A1:M10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AB15-36FC-445D-989E-49806F295F1A}">
  <sheetPr>
    <tabColor rgb="FF7030A0"/>
  </sheetPr>
  <dimension ref="A1:O52"/>
  <sheetViews>
    <sheetView showGridLines="0" workbookViewId="0">
      <selection activeCell="J9" sqref="J9"/>
    </sheetView>
  </sheetViews>
  <sheetFormatPr defaultColWidth="11.42578125" defaultRowHeight="15"/>
  <cols>
    <col min="1" max="1" width="13.7109375" bestFit="1" customWidth="1"/>
    <col min="2" max="2" width="10.140625" bestFit="1" customWidth="1"/>
    <col min="3" max="3" width="14.28515625" bestFit="1" customWidth="1"/>
    <col min="4" max="4" width="17.140625" bestFit="1" customWidth="1"/>
    <col min="5" max="5" width="14" bestFit="1" customWidth="1"/>
    <col min="6" max="6" width="19" customWidth="1"/>
    <col min="7" max="7" width="12.28515625" customWidth="1"/>
    <col min="8" max="8" width="10.85546875" customWidth="1"/>
  </cols>
  <sheetData>
    <row r="1" spans="1:1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26.1">
      <c r="A2" s="17"/>
      <c r="B2" s="17"/>
      <c r="C2" s="20"/>
      <c r="D2" s="50" t="s">
        <v>28</v>
      </c>
      <c r="E2" s="51"/>
      <c r="F2" s="51"/>
      <c r="G2" s="51"/>
      <c r="H2" s="22"/>
      <c r="I2" s="17"/>
      <c r="J2" s="17"/>
      <c r="K2" s="17"/>
      <c r="L2" s="17"/>
      <c r="M2" s="17"/>
      <c r="N2" s="17"/>
      <c r="O2" s="17"/>
    </row>
    <row r="3" spans="1:15" ht="93" customHeight="1">
      <c r="A3" s="58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60"/>
    </row>
    <row r="4" spans="1:15" ht="18.95">
      <c r="A4" s="18" t="s">
        <v>29</v>
      </c>
      <c r="B4" s="19"/>
      <c r="C4" s="10"/>
      <c r="D4" s="18" t="s">
        <v>30</v>
      </c>
      <c r="E4" s="19"/>
    </row>
    <row r="5" spans="1:15" ht="33" customHeight="1">
      <c r="A5" s="27"/>
      <c r="E5" s="11"/>
    </row>
    <row r="6" spans="1:15" ht="32.1" customHeight="1">
      <c r="A6" s="26" t="s">
        <v>31</v>
      </c>
      <c r="B6" s="28" t="s">
        <v>32</v>
      </c>
      <c r="C6" s="29"/>
      <c r="D6" s="30" t="s">
        <v>31</v>
      </c>
      <c r="E6" s="31" t="s">
        <v>33</v>
      </c>
      <c r="F6" s="31" t="s">
        <v>34</v>
      </c>
      <c r="G6" s="32" t="s">
        <v>35</v>
      </c>
    </row>
    <row r="7" spans="1:15" ht="33.950000000000003" customHeight="1">
      <c r="A7" s="25" t="s">
        <v>13</v>
      </c>
      <c r="B7" s="10">
        <f>COUNTIF(DATA!B2:B106,"Facebook")</f>
        <v>36</v>
      </c>
      <c r="C7" s="29"/>
      <c r="D7" s="30" t="s">
        <v>13</v>
      </c>
      <c r="E7" s="33">
        <f>SUMIF(DATA!B2:B106,"Facebook",DATA!E2:E106)</f>
        <v>184371</v>
      </c>
      <c r="F7" s="34">
        <f ca="1">SUMIF(DATA!B2:B150,"Facebook",DATA!I3:L150)</f>
        <v>555574</v>
      </c>
      <c r="G7" s="35">
        <f ca="1">F7-E7</f>
        <v>371203</v>
      </c>
    </row>
    <row r="8" spans="1:15" ht="32.1" customHeight="1">
      <c r="A8" s="24" t="s">
        <v>23</v>
      </c>
      <c r="B8" s="46">
        <f>COUNTIF(DATA!B2:B106,"Instagram")</f>
        <v>41</v>
      </c>
      <c r="C8" s="29"/>
      <c r="D8" s="30" t="s">
        <v>23</v>
      </c>
      <c r="E8" s="33">
        <f>SUMIF(DATA!B2:B106,"Instagram",DATA!E2:E106)</f>
        <v>237570</v>
      </c>
      <c r="F8" s="34">
        <f ca="1">SUMIF(DATA!B2:B150,"Instagram",DATA!I3:L150)</f>
        <v>525073</v>
      </c>
      <c r="G8" s="35">
        <f ca="1">F8-E8</f>
        <v>287503</v>
      </c>
    </row>
    <row r="9" spans="1:15" ht="30" customHeight="1">
      <c r="A9" s="24" t="s">
        <v>17</v>
      </c>
      <c r="B9" s="10">
        <f>COUNTIF(DATA!B2:B106,"Twitter")</f>
        <v>28</v>
      </c>
      <c r="C9" s="29"/>
      <c r="D9" s="30" t="s">
        <v>17</v>
      </c>
      <c r="E9" s="33">
        <f>SUMIF(DATA!B2:B106,"Twitter",DATA!E2:E106)</f>
        <v>139315</v>
      </c>
      <c r="F9" s="34">
        <f ca="1">SUMIF(DATA!B2:B150,"Twitter",DATA!I3:L150)</f>
        <v>386360</v>
      </c>
      <c r="G9" s="35">
        <f ca="1">F9-E9</f>
        <v>247045</v>
      </c>
    </row>
    <row r="10" spans="1:15">
      <c r="B10" s="23"/>
    </row>
    <row r="12" spans="1:15" ht="18.95">
      <c r="A12" s="18" t="s">
        <v>36</v>
      </c>
      <c r="B12" s="21"/>
    </row>
    <row r="13" spans="1:15" ht="36.950000000000003" customHeight="1"/>
    <row r="14" spans="1:15" ht="42.95" customHeight="1">
      <c r="A14" s="30" t="s">
        <v>37</v>
      </c>
      <c r="B14" s="31" t="s">
        <v>38</v>
      </c>
      <c r="C14" s="31" t="s">
        <v>39</v>
      </c>
      <c r="D14" s="31" t="s">
        <v>40</v>
      </c>
      <c r="E14" s="36" t="s">
        <v>41</v>
      </c>
      <c r="F14" s="37" t="s">
        <v>9</v>
      </c>
    </row>
    <row r="15" spans="1:15" ht="27" customHeight="1">
      <c r="A15" s="30" t="s">
        <v>14</v>
      </c>
      <c r="B15" s="47">
        <f>COUNTIF(DATA!K2:K106,"18-24")</f>
        <v>25</v>
      </c>
      <c r="C15" s="47">
        <f ca="1">SUMIF(DATA!K2:K150,"18-24",DATA!F2:F106)</f>
        <v>1301419</v>
      </c>
      <c r="D15" s="47">
        <f>SUMIF(DATA!K2:K106,"18-24",DATA!I2:I150)</f>
        <v>398209</v>
      </c>
      <c r="E15" s="39">
        <f>AVERAGEIF(DATA!K2:K106,"18-24",DATA!H2:H106)</f>
        <v>0.11618000000000001</v>
      </c>
      <c r="F15" s="49">
        <f>AVERAGEIF(DATA!K2:K10,"18-24",DATA!J2:J150)</f>
        <v>2.3893912057501834</v>
      </c>
    </row>
    <row r="16" spans="1:15" ht="33" customHeight="1">
      <c r="A16" s="30" t="s">
        <v>19</v>
      </c>
      <c r="B16" s="38">
        <f>COUNTIF(DATA!K2:K106,"25-34")</f>
        <v>23</v>
      </c>
      <c r="C16" s="38">
        <f ca="1">SUMIF(DATA!K2:K150,"25-34",DATA!F2:F106)</f>
        <v>1014367</v>
      </c>
      <c r="D16" s="38">
        <f>SUMIF(DATA!K2:K106,"25-34",DATA!I2:I150)</f>
        <v>274382</v>
      </c>
      <c r="E16" s="52">
        <f>AVERAGEIF(DATA!K2:K150,"25-34",DATA!H2:H150)</f>
        <v>0.13539130434782609</v>
      </c>
      <c r="F16" s="57">
        <f>AVERAGEIF(DATA!K2:K150,"25-34",DATA!J2:J150)</f>
        <v>1.4139260118100407</v>
      </c>
    </row>
    <row r="17" spans="1:6" ht="26.1" customHeight="1">
      <c r="A17" s="30" t="s">
        <v>27</v>
      </c>
      <c r="B17" s="38">
        <f>COUNTIF(DATA!K2:K106,"35-44")</f>
        <v>18</v>
      </c>
      <c r="C17" s="38">
        <f ca="1">SUMIF(DATA!K2:K150,"35-44",DATA!F2:F106)</f>
        <v>949678</v>
      </c>
      <c r="D17" s="38">
        <f>SUMIF(DATA!K2:K106,"35-44",DATA!I2:I150)</f>
        <v>270590</v>
      </c>
      <c r="E17" s="39">
        <f>AVERAGEIF(DATA!K2:K150,"35-44",DATA!H2:H150)</f>
        <v>6.5416666666666651E-2</v>
      </c>
      <c r="F17" s="57">
        <f>AVERAGEIF(DATA!K2:K150,"35-44",DATA!J2:J150)</f>
        <v>1.3913548840582306</v>
      </c>
    </row>
    <row r="18" spans="1:6" ht="24.95" customHeight="1">
      <c r="A18" s="30" t="s">
        <v>25</v>
      </c>
      <c r="B18" s="38">
        <f>COUNTIF(DATA!K2:K106,"45-54")</f>
        <v>22</v>
      </c>
      <c r="C18" s="38">
        <f ca="1">SUMIF(DATA!K2:K150,"45-54",DATA!F2:F106)</f>
        <v>1010551</v>
      </c>
      <c r="D18" s="38">
        <f>SUMIF(DATA!K2:K106,"45-54",DATA!I2:I150)</f>
        <v>274285</v>
      </c>
      <c r="E18" s="39">
        <f>AVERAGEIF(DATA!K2:K150,"45-54",DATA!H2:H150)</f>
        <v>8.0086363636363664E-2</v>
      </c>
      <c r="F18" s="57">
        <f>AVERAGEIF(DATA!K2:K150,"45-54",DATA!J2:J150)</f>
        <v>1.5530207499848629</v>
      </c>
    </row>
    <row r="19" spans="1:6" ht="30.95" customHeight="1">
      <c r="A19" s="30" t="s">
        <v>22</v>
      </c>
      <c r="B19" s="38">
        <f>COUNTIF(DATA!K2:K106,"55+")</f>
        <v>17</v>
      </c>
      <c r="C19" s="38">
        <f ca="1">SUMIF(DATA!K2:K150,"55+",DATA!F2:F106)</f>
        <v>1284616</v>
      </c>
      <c r="D19" s="38">
        <f>SUMIF(DATA!K2:K106,"55+",DATA!I2:I150)</f>
        <v>252587</v>
      </c>
      <c r="E19" s="39">
        <f>AVERAGEIF(DATA!K2:K150,"55+",DATA!H2:H150)</f>
        <v>3.3058823529411759E-2</v>
      </c>
      <c r="F19" s="57">
        <f>AVERAGEIF(DATA!K2:K150,"55+",DATA!J2:J150)</f>
        <v>1.8011321992707139</v>
      </c>
    </row>
    <row r="21" spans="1:6" ht="36.950000000000003" customHeight="1"/>
    <row r="22" spans="1:6" ht="27" customHeight="1">
      <c r="A22" s="18" t="s">
        <v>42</v>
      </c>
      <c r="B22" s="2"/>
    </row>
    <row r="23" spans="1:6" ht="29.1" customHeight="1"/>
    <row r="24" spans="1:6" ht="30.95" customHeight="1">
      <c r="A24" s="40" t="s">
        <v>0</v>
      </c>
      <c r="B24" s="40" t="s">
        <v>1</v>
      </c>
      <c r="C24" s="40" t="s">
        <v>43</v>
      </c>
      <c r="D24" s="40" t="s">
        <v>4</v>
      </c>
      <c r="E24" s="40" t="s">
        <v>9</v>
      </c>
    </row>
    <row r="25" spans="1:6" ht="27" customHeight="1">
      <c r="A25" s="41">
        <v>1</v>
      </c>
      <c r="B25" s="41" t="str">
        <f>VLOOKUP(A25, DATA!A:J, 2, FALSE)</f>
        <v>Facebook</v>
      </c>
      <c r="C25" s="42">
        <f>VLOOKUP(A25,DATA!A2:J106,3,FALSE)</f>
        <v>44293.36347222222</v>
      </c>
      <c r="D25" s="43">
        <f>VLOOKUP(A25,DATA!A2:E106,5,FALSE)</f>
        <v>1394</v>
      </c>
      <c r="E25" s="44">
        <f>VLOOKUP(A25,DATA!A2:J150,10,FALSE)</f>
        <v>1.1850789096126255</v>
      </c>
    </row>
    <row r="26" spans="1:6" ht="29.1" customHeight="1"/>
    <row r="27" spans="1:6" ht="32.1" customHeight="1">
      <c r="A27" s="18" t="s">
        <v>44</v>
      </c>
    </row>
    <row r="29" spans="1:6" ht="35.1" customHeight="1">
      <c r="A29" s="30" t="s">
        <v>12</v>
      </c>
      <c r="B29" s="31" t="s">
        <v>45</v>
      </c>
      <c r="C29" s="31" t="s">
        <v>46</v>
      </c>
      <c r="D29" s="31" t="s">
        <v>40</v>
      </c>
      <c r="E29" s="32" t="s">
        <v>47</v>
      </c>
    </row>
    <row r="30" spans="1:6" ht="24.95" customHeight="1">
      <c r="A30" s="30" t="s">
        <v>16</v>
      </c>
      <c r="B30" s="47">
        <f>COUNTIF(DATA!M2:M150,"Beauté")</f>
        <v>23</v>
      </c>
      <c r="C30" s="38">
        <f ca="1">SUMIF(DATA!M2:M107,"Beauté",DATA!F2:F106)</f>
        <v>1216167</v>
      </c>
      <c r="D30" s="33">
        <f>SUMIF(DATA!M2:M106,"Beauté",DATA!I2:I106)</f>
        <v>294810</v>
      </c>
      <c r="E30" s="45">
        <f>AVERAGEIF(DATA!M2:M150,"beauté",DATA!J2:J150)</f>
        <v>1.701840329960548</v>
      </c>
    </row>
    <row r="31" spans="1:6" ht="27" customHeight="1">
      <c r="A31" s="30" t="s">
        <v>24</v>
      </c>
      <c r="B31" s="38">
        <f>COUNTIF(DATA!M2:M150,"Fitness")</f>
        <v>18</v>
      </c>
      <c r="C31" s="38">
        <f ca="1">SUMIF(DATA!M2:M107,"Fitness",DATA!F2:F106)</f>
        <v>992029</v>
      </c>
      <c r="D31" s="33">
        <f>SUMIF(DATA!M2:M106,"Fitness",DATA!I2:I106)</f>
        <v>188467</v>
      </c>
      <c r="E31" s="45">
        <f>AVERAGEIF(DATA!M2:M150,"Fitness",DATA!J2:J150)</f>
        <v>1.2948473801546858</v>
      </c>
    </row>
    <row r="32" spans="1:6" ht="24.95" customHeight="1">
      <c r="A32" s="30" t="s">
        <v>26</v>
      </c>
      <c r="B32" s="38">
        <f>COUNTIF(DATA!M2:M150,"Mode")</f>
        <v>19</v>
      </c>
      <c r="C32" s="38">
        <f ca="1">SUMIF(DATA!M2:M107,"Mode",DATA!F2:F106)</f>
        <v>1015447</v>
      </c>
      <c r="D32" s="33">
        <f>SUMIF(DATA!M2:M106,"Mode",DATA!I2:I106)</f>
        <v>259371</v>
      </c>
      <c r="E32" s="45">
        <f>AVERAGEIF(DATA!M2:M150,"Fitness",DATA!J2:J150)</f>
        <v>1.2948473801546858</v>
      </c>
    </row>
    <row r="33" spans="1:5" ht="32.1" customHeight="1">
      <c r="A33" s="30" t="s">
        <v>21</v>
      </c>
      <c r="B33" s="38">
        <f>COUNTIF(DATA!M2:M150,"Lifestyle")</f>
        <v>22</v>
      </c>
      <c r="C33" s="38">
        <f ca="1">SUMIF(DATA!M2:M107,"Lifestyle",DATA!F2:F106)</f>
        <v>1024621</v>
      </c>
      <c r="D33" s="48">
        <f>SUMIF(DATA!M2:M106,"Lifestyle",DATA!I2:I106)</f>
        <v>405530</v>
      </c>
      <c r="E33" s="45">
        <f>AVERAGEIF(DATA!M2:M150,"Lifestyle",DATA!J2:J150)</f>
        <v>1.7252060724249725</v>
      </c>
    </row>
    <row r="34" spans="1:5" ht="23.1" customHeight="1">
      <c r="A34" s="30" t="s">
        <v>20</v>
      </c>
      <c r="B34" s="47">
        <f>COUNTIF(DATA!M2:M150,"Santé")</f>
        <v>23</v>
      </c>
      <c r="C34" s="47">
        <f ca="1">SUMIF(DATA!M2:M107,"Santé",DATA!F2:F106)</f>
        <v>1312367</v>
      </c>
      <c r="D34" s="33">
        <f>SUMIF(DATA!M2:M106,"Santé",DATA!I2:I106)</f>
        <v>321875</v>
      </c>
      <c r="E34" s="49">
        <f>AVERAGEIF(DATA!M2:M150,"Santé",DATA!J2:J150)</f>
        <v>1.9620465207154063</v>
      </c>
    </row>
    <row r="37" spans="1:5" ht="18.95">
      <c r="A37" s="18" t="s">
        <v>48</v>
      </c>
    </row>
    <row r="38" spans="1:5" ht="27" customHeight="1"/>
    <row r="39" spans="1:5">
      <c r="A39" s="22" t="s">
        <v>49</v>
      </c>
      <c r="B39" s="22" t="s">
        <v>50</v>
      </c>
      <c r="C39" s="22" t="s">
        <v>51</v>
      </c>
      <c r="D39" s="22" t="s">
        <v>52</v>
      </c>
      <c r="E39" s="22" t="s">
        <v>53</v>
      </c>
    </row>
    <row r="40" spans="1:5" ht="24" customHeight="1">
      <c r="A40" s="9" t="s">
        <v>18</v>
      </c>
      <c r="B40">
        <v>2868</v>
      </c>
      <c r="C40" s="12">
        <v>3426042</v>
      </c>
      <c r="D40" s="16">
        <v>827006</v>
      </c>
      <c r="E40" s="15">
        <v>1.7416835476748735</v>
      </c>
    </row>
    <row r="41" spans="1:5" ht="24.95" customHeight="1">
      <c r="A41" s="14" t="s">
        <v>14</v>
      </c>
      <c r="B41">
        <v>766</v>
      </c>
      <c r="C41" s="12">
        <v>969952</v>
      </c>
      <c r="D41" s="16">
        <v>285491</v>
      </c>
      <c r="E41" s="15">
        <v>2.074198082589997</v>
      </c>
    </row>
    <row r="42" spans="1:5" ht="15" customHeight="1">
      <c r="A42" s="14" t="s">
        <v>19</v>
      </c>
      <c r="B42">
        <v>434</v>
      </c>
      <c r="C42" s="12">
        <v>345205</v>
      </c>
      <c r="D42" s="16">
        <v>113669</v>
      </c>
      <c r="E42" s="15">
        <v>1.5339584579192616</v>
      </c>
    </row>
    <row r="43" spans="1:5" ht="15" customHeight="1">
      <c r="A43" s="14" t="s">
        <v>27</v>
      </c>
      <c r="B43">
        <v>532</v>
      </c>
      <c r="C43" s="12">
        <v>562345</v>
      </c>
      <c r="D43" s="16">
        <v>149062</v>
      </c>
      <c r="E43" s="15">
        <v>1.4319399697818243</v>
      </c>
    </row>
    <row r="44" spans="1:5">
      <c r="A44" s="14" t="s">
        <v>25</v>
      </c>
      <c r="B44">
        <v>537</v>
      </c>
      <c r="C44" s="12">
        <v>536408</v>
      </c>
      <c r="D44" s="16">
        <v>109389</v>
      </c>
      <c r="E44" s="15">
        <v>1.6884379994767034</v>
      </c>
    </row>
    <row r="45" spans="1:5">
      <c r="A45" s="14" t="s">
        <v>22</v>
      </c>
      <c r="B45">
        <v>599</v>
      </c>
      <c r="C45" s="12">
        <v>1012132</v>
      </c>
      <c r="D45" s="16">
        <v>169395</v>
      </c>
      <c r="E45" s="15">
        <v>1.781045012673786</v>
      </c>
    </row>
    <row r="46" spans="1:5">
      <c r="A46" s="9" t="s">
        <v>15</v>
      </c>
      <c r="B46">
        <v>2697</v>
      </c>
      <c r="C46" s="12">
        <v>2134589</v>
      </c>
      <c r="D46" s="16">
        <v>643047</v>
      </c>
      <c r="E46" s="15">
        <v>1.4704013150936508</v>
      </c>
    </row>
    <row r="47" spans="1:5">
      <c r="A47" s="14" t="s">
        <v>14</v>
      </c>
      <c r="B47">
        <v>459</v>
      </c>
      <c r="C47" s="12">
        <v>331467</v>
      </c>
      <c r="D47" s="16">
        <v>112718</v>
      </c>
      <c r="E47" s="15">
        <v>1.63918640311649</v>
      </c>
    </row>
    <row r="48" spans="1:5">
      <c r="A48" s="14" t="s">
        <v>19</v>
      </c>
      <c r="B48">
        <v>842</v>
      </c>
      <c r="C48" s="12">
        <v>669162</v>
      </c>
      <c r="D48" s="16">
        <v>160713</v>
      </c>
      <c r="E48" s="15">
        <v>1.3367622964541126</v>
      </c>
    </row>
    <row r="49" spans="1:5">
      <c r="A49" s="14" t="s">
        <v>27</v>
      </c>
      <c r="B49">
        <v>557</v>
      </c>
      <c r="C49" s="12">
        <v>387333</v>
      </c>
      <c r="D49" s="16">
        <v>121528</v>
      </c>
      <c r="E49" s="15">
        <v>1.340623526903739</v>
      </c>
    </row>
    <row r="50" spans="1:5">
      <c r="A50" s="14" t="s">
        <v>25</v>
      </c>
      <c r="B50">
        <v>597</v>
      </c>
      <c r="C50" s="12">
        <v>474143</v>
      </c>
      <c r="D50" s="16">
        <v>164896</v>
      </c>
      <c r="E50" s="15">
        <v>1.4401730420749963</v>
      </c>
    </row>
    <row r="51" spans="1:5">
      <c r="A51" s="14" t="s">
        <v>22</v>
      </c>
      <c r="B51">
        <v>242</v>
      </c>
      <c r="C51" s="12">
        <v>272484</v>
      </c>
      <c r="D51" s="16">
        <v>83192</v>
      </c>
      <c r="E51" s="15">
        <v>1.8664155557107296</v>
      </c>
    </row>
    <row r="52" spans="1:5">
      <c r="A52" s="9" t="s">
        <v>54</v>
      </c>
      <c r="B52">
        <v>5565</v>
      </c>
      <c r="C52" s="12">
        <v>5560631</v>
      </c>
      <c r="D52" s="16">
        <v>1470053</v>
      </c>
      <c r="E52" s="15">
        <v>1.6176688127806007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C02B-1E2B-4723-A747-0C12A6270866}">
  <sheetPr>
    <tabColor rgb="FF00B0F0"/>
  </sheetPr>
  <dimension ref="B1:T336"/>
  <sheetViews>
    <sheetView showGridLines="0" tabSelected="1" topLeftCell="B1" workbookViewId="0">
      <selection activeCell="M6" sqref="M6"/>
    </sheetView>
  </sheetViews>
  <sheetFormatPr defaultColWidth="11.42578125" defaultRowHeight="15"/>
  <sheetData>
    <row r="1" spans="2:20"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2:20" ht="21">
      <c r="B2" s="54"/>
      <c r="C2" s="53"/>
      <c r="D2" s="53"/>
      <c r="E2" s="53"/>
      <c r="F2" s="55"/>
      <c r="G2" s="56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2:20" ht="21">
      <c r="B3" s="53"/>
      <c r="C3" s="53"/>
      <c r="D3" s="53"/>
      <c r="E3" s="53"/>
      <c r="F3" s="54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</row>
    <row r="4" spans="2:20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</row>
    <row r="5" spans="2:20"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</row>
    <row r="6" spans="2:20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</row>
    <row r="7" spans="2:20"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</row>
    <row r="8" spans="2:20"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</row>
    <row r="9" spans="2:20"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</row>
    <row r="10" spans="2:20"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</row>
    <row r="11" spans="2:20"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</row>
    <row r="12" spans="2:20"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</row>
    <row r="13" spans="2:20"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</row>
    <row r="14" spans="2:20"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</row>
    <row r="15" spans="2:20"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</row>
    <row r="16" spans="2:20"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</row>
    <row r="17" spans="2:20"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</row>
    <row r="18" spans="2:20"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</row>
    <row r="19" spans="2:20"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</row>
    <row r="20" spans="2:20"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</row>
    <row r="21" spans="2:20"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</row>
    <row r="22" spans="2:20"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</row>
    <row r="23" spans="2:20"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</row>
    <row r="24" spans="2:20"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</row>
    <row r="25" spans="2:20"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</row>
    <row r="26" spans="2:20"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</row>
    <row r="27" spans="2:20"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</row>
    <row r="28" spans="2:20"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</row>
    <row r="29" spans="2:20"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</row>
    <row r="30" spans="2:20"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</row>
    <row r="31" spans="2:20"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</row>
    <row r="32" spans="2:20"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</row>
    <row r="33" spans="2:20"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</row>
    <row r="34" spans="2:20"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</row>
    <row r="35" spans="2:20"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</row>
    <row r="36" spans="2:20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</row>
    <row r="37" spans="2:20"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</row>
    <row r="38" spans="2:20"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</row>
    <row r="39" spans="2:20"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</row>
    <row r="40" spans="2:20"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</row>
    <row r="41" spans="2:20"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</row>
    <row r="42" spans="2:20"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</row>
    <row r="43" spans="2:20"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</row>
    <row r="44" spans="2:20"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</row>
    <row r="45" spans="2:20"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</row>
    <row r="46" spans="2:20"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</row>
    <row r="47" spans="2:20"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</row>
    <row r="48" spans="2:20"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</row>
    <row r="49" spans="2:20"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</row>
    <row r="50" spans="2:20"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</row>
    <row r="51" spans="2:20"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</row>
    <row r="52" spans="2:20"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</row>
    <row r="53" spans="2:20"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</row>
    <row r="54" spans="2:20"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</row>
    <row r="55" spans="2:20"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</row>
    <row r="56" spans="2:20"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</row>
    <row r="57" spans="2:20"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</row>
    <row r="58" spans="2:20"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</row>
    <row r="59" spans="2:20"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</row>
    <row r="60" spans="2:20"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</row>
    <row r="61" spans="2:20"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</row>
    <row r="62" spans="2:20"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</row>
    <row r="63" spans="2:20"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</row>
    <row r="64" spans="2:20"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</row>
    <row r="65" spans="2:20"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</row>
    <row r="66" spans="2:20"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</row>
    <row r="67" spans="2:20"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</row>
    <row r="68" spans="2:20"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</row>
    <row r="69" spans="2:20"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</row>
    <row r="70" spans="2:20"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</row>
    <row r="71" spans="2:20"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</row>
    <row r="72" spans="2:20"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</row>
    <row r="73" spans="2:20"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</row>
    <row r="74" spans="2:20"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</row>
    <row r="75" spans="2:20"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</row>
    <row r="76" spans="2:20"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</row>
    <row r="77" spans="2:20"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</row>
    <row r="78" spans="2:20"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</row>
    <row r="79" spans="2:20"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</row>
    <row r="80" spans="2:20"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</row>
    <row r="81" spans="2:20"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</row>
    <row r="82" spans="2:20"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</row>
    <row r="83" spans="2:20"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</row>
    <row r="84" spans="2:20"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</row>
    <row r="85" spans="2:20"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</row>
    <row r="86" spans="2:20"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</row>
    <row r="87" spans="2:20"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</row>
    <row r="88" spans="2:20"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</row>
    <row r="89" spans="2:20"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</row>
    <row r="90" spans="2:20"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</row>
    <row r="91" spans="2:20"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</row>
    <row r="92" spans="2:20"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</row>
    <row r="93" spans="2:20"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</row>
    <row r="94" spans="2:20"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</row>
    <row r="95" spans="2:20"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</row>
    <row r="96" spans="2:20"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</row>
    <row r="97" spans="2:20"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</row>
    <row r="98" spans="2:20"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</row>
    <row r="99" spans="2:20"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</row>
    <row r="100" spans="2:20"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</row>
    <row r="101" spans="2:20"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</row>
    <row r="102" spans="2:20"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</row>
    <row r="103" spans="2:20"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</row>
    <row r="104" spans="2:20"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</row>
    <row r="105" spans="2:20"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</row>
    <row r="106" spans="2:20"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</row>
    <row r="107" spans="2:20"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</row>
    <row r="108" spans="2:20"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</row>
    <row r="109" spans="2:20"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</row>
    <row r="110" spans="2:20"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</row>
    <row r="111" spans="2:20"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</row>
    <row r="112" spans="2:20"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</row>
    <row r="113" spans="2:20"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</row>
    <row r="114" spans="2:20"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</row>
    <row r="115" spans="2:20"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</row>
    <row r="116" spans="2:20"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</row>
    <row r="117" spans="2:20"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</row>
    <row r="118" spans="2:20"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</row>
    <row r="119" spans="2:20"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</row>
    <row r="120" spans="2:20"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</row>
    <row r="121" spans="2:20"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</row>
    <row r="122" spans="2:20"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</row>
    <row r="123" spans="2:20"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</row>
    <row r="124" spans="2:20"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</row>
    <row r="125" spans="2:20"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</row>
    <row r="126" spans="2:20"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</row>
    <row r="127" spans="2:20"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</row>
    <row r="128" spans="2:20"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</row>
    <row r="129" spans="2:20"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</row>
    <row r="130" spans="2:20"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</row>
    <row r="131" spans="2:20"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</row>
    <row r="132" spans="2:20"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</row>
    <row r="133" spans="2:20"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</row>
    <row r="134" spans="2:20"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</row>
    <row r="135" spans="2:20"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</row>
    <row r="136" spans="2:20"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</row>
    <row r="137" spans="2:20"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</row>
    <row r="138" spans="2:20"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</row>
    <row r="139" spans="2:20"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</row>
    <row r="140" spans="2:20"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</row>
    <row r="141" spans="2:20"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</row>
    <row r="142" spans="2:20"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</row>
    <row r="143" spans="2:20"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</row>
    <row r="144" spans="2:20"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</row>
    <row r="145" spans="2:20"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</row>
    <row r="146" spans="2:20"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</row>
    <row r="147" spans="2:20"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</row>
    <row r="148" spans="2:20"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</row>
    <row r="149" spans="2:20"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</row>
    <row r="150" spans="2:20"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</row>
    <row r="151" spans="2:20"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</row>
    <row r="152" spans="2:20"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</row>
    <row r="153" spans="2:20"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</row>
    <row r="154" spans="2:20"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</row>
    <row r="155" spans="2:20"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</row>
    <row r="156" spans="2:20"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</row>
    <row r="157" spans="2:20"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</row>
    <row r="158" spans="2:20"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</row>
    <row r="159" spans="2:20"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</row>
    <row r="160" spans="2:20"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</row>
    <row r="161" spans="2:20"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</row>
    <row r="162" spans="2:20"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</row>
    <row r="163" spans="2:20"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</row>
    <row r="164" spans="2:20"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</row>
    <row r="165" spans="2:20"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</row>
    <row r="166" spans="2:20"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</row>
    <row r="167" spans="2:20"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</row>
    <row r="168" spans="2:20"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</row>
    <row r="169" spans="2:20"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</row>
    <row r="170" spans="2:20"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</row>
    <row r="171" spans="2:20"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</row>
    <row r="172" spans="2:20"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</row>
    <row r="173" spans="2:20"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</row>
    <row r="174" spans="2:20"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</row>
    <row r="175" spans="2:20"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</row>
    <row r="176" spans="2:20"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</row>
    <row r="177" spans="2:20"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</row>
    <row r="178" spans="2:20"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</row>
    <row r="179" spans="2:20"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</row>
    <row r="180" spans="2:20"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</row>
    <row r="181" spans="2:20"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</row>
    <row r="182" spans="2:20"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</row>
    <row r="183" spans="2:20"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</row>
    <row r="184" spans="2:20"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</row>
    <row r="185" spans="2:20"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</row>
    <row r="186" spans="2:20"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</row>
    <row r="187" spans="2:20"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</row>
    <row r="188" spans="2:20"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</row>
    <row r="189" spans="2:20"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</row>
    <row r="190" spans="2:20"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</row>
    <row r="191" spans="2:20"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</row>
    <row r="192" spans="2:20"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</row>
    <row r="193" spans="2:20"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</row>
    <row r="194" spans="2:20"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</row>
    <row r="195" spans="2:20"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</row>
    <row r="196" spans="2:20"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</row>
    <row r="197" spans="2:20"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</row>
    <row r="198" spans="2:20"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</row>
    <row r="199" spans="2:20"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</row>
    <row r="200" spans="2:20"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</row>
    <row r="201" spans="2:20"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</row>
    <row r="202" spans="2:20"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</row>
    <row r="203" spans="2:20"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</row>
    <row r="204" spans="2:20"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</row>
    <row r="205" spans="2:20"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</row>
    <row r="206" spans="2:20"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</row>
    <row r="207" spans="2:20"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</row>
    <row r="208" spans="2:20"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</row>
    <row r="209" spans="2:20"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</row>
    <row r="210" spans="2:20"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</row>
    <row r="211" spans="2:20"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</row>
    <row r="212" spans="2:20"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</row>
    <row r="213" spans="2:20"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</row>
    <row r="214" spans="2:20"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</row>
    <row r="215" spans="2:20"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</row>
    <row r="216" spans="2:20"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</row>
    <row r="217" spans="2:20"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</row>
    <row r="218" spans="2:20"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</row>
    <row r="219" spans="2:20"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</row>
    <row r="220" spans="2:20"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</row>
    <row r="221" spans="2:20"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</row>
    <row r="222" spans="2:20"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</row>
    <row r="223" spans="2:20"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</row>
    <row r="224" spans="2:20"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</row>
    <row r="225" spans="2:20"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</row>
    <row r="226" spans="2:20"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</row>
    <row r="227" spans="2:20"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</row>
    <row r="228" spans="2:20"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</row>
    <row r="229" spans="2:20"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</row>
    <row r="230" spans="2:20"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</row>
    <row r="231" spans="2:20"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</row>
    <row r="232" spans="2:20"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</row>
    <row r="233" spans="2:20"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</row>
    <row r="234" spans="2:20"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</row>
    <row r="235" spans="2:20"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</row>
    <row r="236" spans="2:20"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</row>
    <row r="237" spans="2:20"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</row>
    <row r="238" spans="2:20"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</row>
    <row r="239" spans="2:20"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</row>
    <row r="240" spans="2:20"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</row>
    <row r="241" spans="2:20"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</row>
    <row r="242" spans="2:20"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</row>
    <row r="243" spans="2:20"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</row>
    <row r="244" spans="2:20"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</row>
    <row r="245" spans="2:20"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</row>
    <row r="246" spans="2:20"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</row>
    <row r="247" spans="2:20"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</row>
    <row r="248" spans="2:20"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</row>
    <row r="249" spans="2:20"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</row>
    <row r="250" spans="2:20"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</row>
    <row r="251" spans="2:20"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</row>
    <row r="252" spans="2:20"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</row>
    <row r="253" spans="2:20"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</row>
    <row r="254" spans="2:20"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</row>
    <row r="255" spans="2:20"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</row>
    <row r="256" spans="2:20"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</row>
    <row r="257" spans="2:20"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</row>
    <row r="258" spans="2:20"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</row>
    <row r="259" spans="2:20"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</row>
    <row r="260" spans="2:20"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</row>
    <row r="261" spans="2:20"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</row>
    <row r="262" spans="2:20"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</row>
    <row r="263" spans="2:20"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</row>
    <row r="264" spans="2:20"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</row>
    <row r="265" spans="2:20"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</row>
    <row r="266" spans="2:20"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</row>
    <row r="267" spans="2:20"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</row>
    <row r="268" spans="2:20"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</row>
    <row r="269" spans="2:20"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</row>
    <row r="270" spans="2:20"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</row>
    <row r="271" spans="2:20"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</row>
    <row r="272" spans="2:20"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</row>
    <row r="273" spans="2:20"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</row>
    <row r="274" spans="2:20"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</row>
    <row r="275" spans="2:20"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</row>
    <row r="276" spans="2:20"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</row>
    <row r="277" spans="2:20"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</row>
    <row r="278" spans="2:20"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</row>
    <row r="279" spans="2:20"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</row>
    <row r="280" spans="2:20"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</row>
    <row r="281" spans="2:20"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</row>
    <row r="282" spans="2:20"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</row>
    <row r="283" spans="2:20"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</row>
    <row r="284" spans="2:20"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</row>
    <row r="285" spans="2:20"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</row>
    <row r="286" spans="2:20"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</row>
    <row r="287" spans="2:20"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</row>
    <row r="288" spans="2:20"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</row>
    <row r="289" spans="2:20"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</row>
    <row r="290" spans="2:20"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</row>
    <row r="291" spans="2:20"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</row>
    <row r="292" spans="2:20"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</row>
    <row r="293" spans="2:20"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</row>
    <row r="294" spans="2:20"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</row>
    <row r="295" spans="2:20"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</row>
    <row r="296" spans="2:20"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</row>
    <row r="297" spans="2:20"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</row>
    <row r="298" spans="2:20"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</row>
    <row r="299" spans="2:20"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</row>
    <row r="300" spans="2:20"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</row>
    <row r="301" spans="2:20"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</row>
    <row r="302" spans="2:20"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</row>
    <row r="303" spans="2:20"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</row>
    <row r="304" spans="2:20"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</row>
    <row r="305" spans="2:20"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</row>
    <row r="306" spans="2:20"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</row>
    <row r="307" spans="2:20"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</row>
    <row r="308" spans="2:20"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</row>
    <row r="309" spans="2:20"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</row>
    <row r="310" spans="2:20"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</row>
    <row r="311" spans="2:20"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</row>
    <row r="312" spans="2:20"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</row>
    <row r="313" spans="2:20"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</row>
    <row r="314" spans="2:20"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</row>
    <row r="315" spans="2:20"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</row>
    <row r="316" spans="2:20"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</row>
    <row r="317" spans="2:20"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</row>
    <row r="318" spans="2:20"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</row>
    <row r="319" spans="2:20"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</row>
    <row r="320" spans="2:20"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</row>
    <row r="321" spans="2:20"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</row>
    <row r="322" spans="2:20"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</row>
    <row r="323" spans="2:20"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</row>
    <row r="324" spans="2:20"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</row>
    <row r="325" spans="2:20"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</row>
    <row r="326" spans="2:20"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</row>
    <row r="327" spans="2:20"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</row>
    <row r="328" spans="2:20"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</row>
    <row r="329" spans="2:20"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</row>
    <row r="330" spans="2:20"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</row>
    <row r="331" spans="2:20"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</row>
    <row r="332" spans="2:20"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</row>
    <row r="333" spans="2:20"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</row>
    <row r="334" spans="2:20"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</row>
    <row r="335" spans="2:20"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</row>
    <row r="336" spans="2:20"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4C619-DCA3-D74C-AC9F-22C07E505496}">
  <dimension ref="A3:H26"/>
  <sheetViews>
    <sheetView workbookViewId="0">
      <selection activeCell="G26" sqref="G26"/>
    </sheetView>
  </sheetViews>
  <sheetFormatPr defaultColWidth="11.42578125" defaultRowHeight="15"/>
  <cols>
    <col min="1" max="1" width="14" bestFit="1" customWidth="1"/>
    <col min="2" max="2" width="25.28515625" bestFit="1" customWidth="1"/>
    <col min="3" max="3" width="14" bestFit="1" customWidth="1"/>
    <col min="4" max="4" width="11.140625" bestFit="1" customWidth="1"/>
    <col min="5" max="5" width="25.28515625" bestFit="1" customWidth="1"/>
    <col min="6" max="6" width="14" bestFit="1" customWidth="1"/>
    <col min="7" max="7" width="25.28515625" bestFit="1" customWidth="1"/>
    <col min="8" max="8" width="14" bestFit="1" customWidth="1"/>
  </cols>
  <sheetData>
    <row r="3" spans="1:8">
      <c r="A3" t="s">
        <v>55</v>
      </c>
      <c r="C3" t="s">
        <v>56</v>
      </c>
      <c r="E3" t="s">
        <v>57</v>
      </c>
    </row>
    <row r="4" spans="1:8">
      <c r="A4">
        <v>5565</v>
      </c>
      <c r="C4" s="16">
        <v>561256</v>
      </c>
      <c r="E4">
        <v>1470053</v>
      </c>
    </row>
    <row r="6" spans="1:8">
      <c r="A6" t="s">
        <v>53</v>
      </c>
      <c r="C6" t="s">
        <v>58</v>
      </c>
    </row>
    <row r="7" spans="1:8">
      <c r="A7" s="15">
        <v>1.6176688127806009</v>
      </c>
      <c r="C7" s="15">
        <v>9.0665714285714322E-2</v>
      </c>
    </row>
    <row r="9" spans="1:8">
      <c r="A9" s="8" t="s">
        <v>1</v>
      </c>
      <c r="B9" t="s">
        <v>57</v>
      </c>
      <c r="C9" t="s">
        <v>53</v>
      </c>
      <c r="E9" s="8" t="s">
        <v>57</v>
      </c>
      <c r="F9" s="8" t="s">
        <v>59</v>
      </c>
    </row>
    <row r="10" spans="1:8">
      <c r="A10" s="9" t="s">
        <v>13</v>
      </c>
      <c r="B10" s="13">
        <v>497803</v>
      </c>
      <c r="C10" s="15">
        <v>1.610355799759722</v>
      </c>
      <c r="E10" s="8" t="s">
        <v>1</v>
      </c>
      <c r="F10" t="s">
        <v>18</v>
      </c>
      <c r="G10" t="s">
        <v>15</v>
      </c>
      <c r="H10" t="s">
        <v>54</v>
      </c>
    </row>
    <row r="11" spans="1:8">
      <c r="A11" s="9" t="s">
        <v>23</v>
      </c>
      <c r="B11" s="13">
        <v>561028</v>
      </c>
      <c r="C11" s="15">
        <v>1.4655933911004675</v>
      </c>
      <c r="E11" s="9" t="s">
        <v>14</v>
      </c>
      <c r="F11" s="16">
        <v>285491</v>
      </c>
      <c r="G11" s="16">
        <v>112718</v>
      </c>
      <c r="H11" s="16">
        <v>398209</v>
      </c>
    </row>
    <row r="12" spans="1:8">
      <c r="A12" s="9" t="s">
        <v>17</v>
      </c>
      <c r="B12" s="13">
        <v>411222</v>
      </c>
      <c r="C12" s="15">
        <v>1.849753125553353</v>
      </c>
      <c r="E12" s="9" t="s">
        <v>19</v>
      </c>
      <c r="F12" s="16">
        <v>113669</v>
      </c>
      <c r="G12" s="16">
        <v>160713</v>
      </c>
      <c r="H12" s="16">
        <v>274382</v>
      </c>
    </row>
    <row r="13" spans="1:8">
      <c r="A13" s="9" t="s">
        <v>54</v>
      </c>
      <c r="B13" s="15">
        <v>1470053</v>
      </c>
      <c r="C13" s="15">
        <v>1.6176688127806007</v>
      </c>
      <c r="E13" s="9" t="s">
        <v>27</v>
      </c>
      <c r="F13" s="16">
        <v>149062</v>
      </c>
      <c r="G13" s="16">
        <v>121528</v>
      </c>
      <c r="H13" s="16">
        <v>270590</v>
      </c>
    </row>
    <row r="14" spans="1:8">
      <c r="E14" s="9" t="s">
        <v>25</v>
      </c>
      <c r="F14" s="16">
        <v>109389</v>
      </c>
      <c r="G14" s="16">
        <v>164896</v>
      </c>
      <c r="H14" s="16">
        <v>274285</v>
      </c>
    </row>
    <row r="15" spans="1:8">
      <c r="E15" s="9" t="s">
        <v>22</v>
      </c>
      <c r="F15" s="16">
        <v>169395</v>
      </c>
      <c r="G15" s="16">
        <v>83192</v>
      </c>
      <c r="H15" s="16">
        <v>252587</v>
      </c>
    </row>
    <row r="16" spans="1:8">
      <c r="E16" s="9" t="s">
        <v>54</v>
      </c>
      <c r="F16" s="16">
        <v>827006</v>
      </c>
      <c r="G16" s="16">
        <v>643047</v>
      </c>
      <c r="H16" s="16">
        <v>1470053</v>
      </c>
    </row>
    <row r="17" spans="1:8">
      <c r="A17" s="8" t="s">
        <v>58</v>
      </c>
      <c r="B17" s="8" t="s">
        <v>59</v>
      </c>
    </row>
    <row r="18" spans="1:8">
      <c r="A18" s="8" t="s">
        <v>1</v>
      </c>
      <c r="B18" t="s">
        <v>18</v>
      </c>
      <c r="C18" t="s">
        <v>15</v>
      </c>
      <c r="D18" t="s">
        <v>54</v>
      </c>
    </row>
    <row r="19" spans="1:8">
      <c r="A19" s="9" t="s">
        <v>14</v>
      </c>
      <c r="B19" s="15">
        <v>5.8179999999999989E-2</v>
      </c>
      <c r="C19" s="15">
        <v>0.20317999999999997</v>
      </c>
      <c r="D19" s="15">
        <v>0.11617999999999996</v>
      </c>
    </row>
    <row r="20" spans="1:8">
      <c r="A20" s="9" t="s">
        <v>19</v>
      </c>
      <c r="B20" s="15">
        <v>0.11222222222222222</v>
      </c>
      <c r="C20" s="15">
        <v>0.1502857142857143</v>
      </c>
      <c r="D20" s="15">
        <v>0.13539130434782609</v>
      </c>
      <c r="F20" s="8" t="s">
        <v>1</v>
      </c>
      <c r="G20" t="s">
        <v>57</v>
      </c>
      <c r="H20" t="s">
        <v>53</v>
      </c>
    </row>
    <row r="21" spans="1:8">
      <c r="A21" s="9" t="s">
        <v>27</v>
      </c>
      <c r="B21" s="15">
        <v>6.9409999999999999E-2</v>
      </c>
      <c r="C21" s="15">
        <v>6.0425E-2</v>
      </c>
      <c r="D21" s="15">
        <v>6.5416666666666651E-2</v>
      </c>
      <c r="F21" s="9" t="s">
        <v>16</v>
      </c>
      <c r="G21" s="16">
        <v>294810</v>
      </c>
      <c r="H21" s="15">
        <v>1.701840329960548</v>
      </c>
    </row>
    <row r="22" spans="1:8">
      <c r="A22" s="9" t="s">
        <v>25</v>
      </c>
      <c r="B22" s="15">
        <v>4.6610000000000006E-2</v>
      </c>
      <c r="C22" s="15">
        <v>0.10798333333333333</v>
      </c>
      <c r="D22" s="15">
        <v>8.008636363636365E-2</v>
      </c>
      <c r="F22" s="9" t="s">
        <v>24</v>
      </c>
      <c r="G22" s="16">
        <v>188467</v>
      </c>
      <c r="H22" s="15">
        <v>1.2948473801546858</v>
      </c>
    </row>
    <row r="23" spans="1:8">
      <c r="A23" s="9" t="s">
        <v>22</v>
      </c>
      <c r="B23" s="15">
        <v>3.4953846153846155E-2</v>
      </c>
      <c r="C23" s="15">
        <v>2.69E-2</v>
      </c>
      <c r="D23" s="15">
        <v>3.3058823529411765E-2</v>
      </c>
      <c r="F23" s="9" t="s">
        <v>21</v>
      </c>
      <c r="G23" s="16">
        <v>405530</v>
      </c>
      <c r="H23" s="15">
        <v>1.7252060724249725</v>
      </c>
    </row>
    <row r="24" spans="1:8">
      <c r="A24" s="9" t="s">
        <v>54</v>
      </c>
      <c r="B24" s="15">
        <v>6.1356140350877213E-2</v>
      </c>
      <c r="C24" s="15">
        <v>0.12547083333333334</v>
      </c>
      <c r="D24" s="15">
        <v>9.066571428571428E-2</v>
      </c>
      <c r="F24" s="9" t="s">
        <v>26</v>
      </c>
      <c r="G24" s="16">
        <v>259371</v>
      </c>
      <c r="H24" s="15">
        <v>1.2802127021201251</v>
      </c>
    </row>
    <row r="25" spans="1:8">
      <c r="F25" s="9" t="s">
        <v>20</v>
      </c>
      <c r="G25" s="16">
        <v>321875</v>
      </c>
      <c r="H25" s="15">
        <v>1.9620465207154063</v>
      </c>
    </row>
    <row r="26" spans="1:8">
      <c r="F26" s="9" t="s">
        <v>54</v>
      </c>
      <c r="G26" s="15">
        <v>1470053</v>
      </c>
      <c r="H26" s="15">
        <v>1.6176688127806003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Samy Wahbi</dc:creator>
  <cp:keywords/>
  <dc:description/>
  <cp:lastModifiedBy/>
  <cp:revision/>
  <dcterms:created xsi:type="dcterms:W3CDTF">2025-02-13T19:04:34Z</dcterms:created>
  <dcterms:modified xsi:type="dcterms:W3CDTF">2026-02-15T16:15:06Z</dcterms:modified>
  <cp:category/>
  <cp:contentStatus/>
</cp:coreProperties>
</file>